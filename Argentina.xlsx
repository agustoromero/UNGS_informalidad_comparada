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cuments\UNGS\2026\Informalidad\"/>
    </mc:Choice>
  </mc:AlternateContent>
  <bookViews>
    <workbookView xWindow="0" yWindow="0" windowWidth="20490" windowHeight="6750"/>
  </bookViews>
  <sheets>
    <sheet name="1" sheetId="1" r:id="rId1"/>
    <sheet name="2" sheetId="2" r:id="rId2"/>
    <sheet name="3" sheetId="3" r:id="rId3"/>
    <sheet name="4" sheetId="4" r:id="rId4"/>
    <sheet name="5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5" i="5" l="1"/>
  <c r="G63" i="5"/>
  <c r="G61" i="5"/>
  <c r="G60" i="5"/>
  <c r="G59" i="5"/>
  <c r="G58" i="5"/>
  <c r="G57" i="5"/>
  <c r="G56" i="5"/>
  <c r="G55" i="5"/>
  <c r="G54" i="5"/>
  <c r="G53" i="5"/>
  <c r="G49" i="5"/>
  <c r="G47" i="5"/>
  <c r="G45" i="5"/>
  <c r="G44" i="5"/>
  <c r="G43" i="5"/>
  <c r="G42" i="5"/>
  <c r="G41" i="5"/>
  <c r="G40" i="5"/>
  <c r="G39" i="5"/>
  <c r="G38" i="5"/>
  <c r="G37" i="5"/>
  <c r="G32" i="5"/>
  <c r="G30" i="5"/>
  <c r="G28" i="5"/>
  <c r="G27" i="5"/>
  <c r="G26" i="5"/>
  <c r="G25" i="5"/>
  <c r="G24" i="5"/>
  <c r="G23" i="5"/>
  <c r="G22" i="5"/>
  <c r="G21" i="5"/>
  <c r="G20" i="5"/>
  <c r="G16" i="5"/>
  <c r="G14" i="5"/>
  <c r="G12" i="5"/>
  <c r="G11" i="5"/>
  <c r="G10" i="5"/>
  <c r="G9" i="5"/>
  <c r="G8" i="5"/>
  <c r="G7" i="5"/>
  <c r="G6" i="5"/>
  <c r="G5" i="5"/>
  <c r="G4" i="5"/>
  <c r="G61" i="4"/>
  <c r="G59" i="4"/>
  <c r="G56" i="4"/>
  <c r="G52" i="4"/>
  <c r="G51" i="4"/>
  <c r="G49" i="4"/>
  <c r="G46" i="4"/>
  <c r="G44" i="4"/>
  <c r="G43" i="4"/>
  <c r="G42" i="4"/>
  <c r="G41" i="4"/>
  <c r="G40" i="4"/>
  <c r="G39" i="4"/>
  <c r="G38" i="4"/>
  <c r="G37" i="4"/>
  <c r="G36" i="4"/>
  <c r="G35" i="4"/>
  <c r="G34" i="4"/>
  <c r="G31" i="4"/>
  <c r="G29" i="4"/>
  <c r="G28" i="4"/>
  <c r="G27" i="4"/>
  <c r="G26" i="4"/>
  <c r="G25" i="4"/>
  <c r="G24" i="4"/>
  <c r="G23" i="4"/>
  <c r="G22" i="4"/>
  <c r="G21" i="4"/>
  <c r="G20" i="4"/>
  <c r="G19" i="4"/>
  <c r="N31" i="4"/>
  <c r="N29" i="4"/>
  <c r="N28" i="4"/>
  <c r="N27" i="4"/>
  <c r="N26" i="4"/>
  <c r="N25" i="4"/>
  <c r="N24" i="4"/>
  <c r="N23" i="4"/>
  <c r="N22" i="4"/>
  <c r="N21" i="4"/>
  <c r="N20" i="4"/>
  <c r="N19" i="4"/>
  <c r="N16" i="4"/>
  <c r="G16" i="4" s="1"/>
  <c r="N14" i="4"/>
  <c r="G14" i="4" s="1"/>
  <c r="N13" i="4"/>
  <c r="G13" i="4" s="1"/>
  <c r="N12" i="4"/>
  <c r="G12" i="4" s="1"/>
  <c r="N11" i="4"/>
  <c r="N10" i="4"/>
  <c r="N9" i="4"/>
  <c r="N8" i="4"/>
  <c r="N7" i="4"/>
  <c r="G7" i="4" s="1"/>
  <c r="N6" i="4"/>
  <c r="G6" i="4" s="1"/>
  <c r="N5" i="4"/>
  <c r="G5" i="4" s="1"/>
  <c r="N4" i="4"/>
  <c r="G4" i="4" s="1"/>
  <c r="G11" i="4"/>
  <c r="G10" i="4"/>
  <c r="G9" i="4"/>
  <c r="G8" i="4"/>
  <c r="N61" i="4"/>
  <c r="N59" i="4"/>
  <c r="N58" i="4"/>
  <c r="N57" i="4"/>
  <c r="N56" i="4"/>
  <c r="N55" i="4"/>
  <c r="N54" i="4"/>
  <c r="N53" i="4"/>
  <c r="N52" i="4"/>
  <c r="N51" i="4"/>
  <c r="N50" i="4"/>
  <c r="N49" i="4"/>
  <c r="N46" i="4"/>
  <c r="N44" i="4"/>
  <c r="N43" i="4"/>
  <c r="N42" i="4"/>
  <c r="N41" i="4"/>
  <c r="N40" i="4"/>
  <c r="N39" i="4"/>
  <c r="N38" i="4"/>
  <c r="N37" i="4"/>
  <c r="N36" i="4"/>
  <c r="N35" i="4"/>
  <c r="N34" i="4"/>
  <c r="G10" i="3"/>
  <c r="G18" i="3" s="1"/>
  <c r="F18" i="3"/>
  <c r="E18" i="3"/>
  <c r="D18" i="3"/>
  <c r="F10" i="3"/>
  <c r="L18" i="3" s="1"/>
  <c r="E10" i="3"/>
  <c r="D10" i="3"/>
  <c r="J18" i="3" s="1"/>
  <c r="C10" i="3"/>
  <c r="Q18" i="3"/>
  <c r="K18" i="3"/>
  <c r="S10" i="3"/>
  <c r="R10" i="3"/>
  <c r="Q10" i="3"/>
  <c r="P10" i="3"/>
  <c r="M10" i="3"/>
  <c r="L10" i="3"/>
  <c r="K10" i="3"/>
  <c r="J10" i="3"/>
  <c r="G46" i="2"/>
  <c r="G44" i="2"/>
  <c r="G43" i="2"/>
  <c r="G42" i="2"/>
  <c r="G41" i="2"/>
  <c r="G40" i="2"/>
  <c r="G39" i="2"/>
  <c r="G38" i="2"/>
  <c r="G37" i="2"/>
  <c r="G36" i="2"/>
  <c r="G35" i="2"/>
  <c r="G34" i="2"/>
  <c r="G31" i="2"/>
  <c r="G29" i="2"/>
  <c r="G28" i="2"/>
  <c r="G27" i="2"/>
  <c r="G26" i="2"/>
  <c r="G25" i="2"/>
  <c r="G24" i="2"/>
  <c r="G23" i="2"/>
  <c r="G22" i="2"/>
  <c r="G21" i="2"/>
  <c r="G20" i="2"/>
  <c r="G19" i="2"/>
  <c r="G16" i="2"/>
  <c r="G14" i="2"/>
  <c r="G13" i="2"/>
  <c r="G12" i="2"/>
  <c r="G11" i="2"/>
  <c r="G10" i="2"/>
  <c r="G9" i="2"/>
  <c r="G8" i="2"/>
  <c r="G7" i="2"/>
  <c r="G6" i="2"/>
  <c r="G5" i="2"/>
  <c r="G4" i="2"/>
  <c r="F4" i="2"/>
  <c r="N46" i="2"/>
  <c r="N44" i="2"/>
  <c r="N43" i="2"/>
  <c r="N42" i="2"/>
  <c r="N41" i="2"/>
  <c r="N40" i="2"/>
  <c r="N39" i="2"/>
  <c r="N38" i="2"/>
  <c r="N37" i="2"/>
  <c r="N36" i="2"/>
  <c r="N35" i="2"/>
  <c r="N34" i="2"/>
  <c r="N31" i="2"/>
  <c r="N29" i="2"/>
  <c r="N28" i="2"/>
  <c r="N27" i="2"/>
  <c r="N26" i="2"/>
  <c r="N25" i="2"/>
  <c r="N24" i="2"/>
  <c r="N23" i="2"/>
  <c r="N22" i="2"/>
  <c r="N21" i="2"/>
  <c r="N20" i="2"/>
  <c r="N19" i="2"/>
  <c r="N16" i="2"/>
  <c r="N14" i="2"/>
  <c r="N13" i="2"/>
  <c r="N12" i="2"/>
  <c r="N11" i="2"/>
  <c r="N10" i="2"/>
  <c r="N9" i="2"/>
  <c r="N8" i="2"/>
  <c r="N7" i="2"/>
  <c r="N6" i="2"/>
  <c r="N5" i="2"/>
  <c r="N4" i="2"/>
  <c r="G7" i="1"/>
  <c r="G19" i="1"/>
  <c r="G17" i="1"/>
  <c r="G16" i="1"/>
  <c r="G15" i="1"/>
  <c r="G14" i="1"/>
  <c r="G13" i="1"/>
  <c r="G12" i="1"/>
  <c r="G11" i="1"/>
  <c r="G10" i="1"/>
  <c r="G9" i="1"/>
  <c r="G8" i="1"/>
  <c r="N19" i="1"/>
  <c r="N17" i="1"/>
  <c r="N16" i="1"/>
  <c r="N15" i="1"/>
  <c r="N14" i="1"/>
  <c r="N13" i="1"/>
  <c r="N12" i="1"/>
  <c r="N11" i="1"/>
  <c r="N10" i="1"/>
  <c r="N9" i="1"/>
  <c r="N8" i="1"/>
  <c r="N7" i="1"/>
  <c r="S18" i="3" l="1"/>
  <c r="M18" i="3"/>
  <c r="P18" i="3"/>
  <c r="R18" i="3"/>
  <c r="F65" i="5"/>
  <c r="E65" i="5"/>
  <c r="D65" i="5"/>
  <c r="F63" i="5"/>
  <c r="E63" i="5"/>
  <c r="D63" i="5"/>
  <c r="F61" i="5"/>
  <c r="E61" i="5"/>
  <c r="D61" i="5"/>
  <c r="F60" i="5"/>
  <c r="E60" i="5"/>
  <c r="D60" i="5"/>
  <c r="F59" i="5"/>
  <c r="E59" i="5"/>
  <c r="D59" i="5"/>
  <c r="F58" i="5"/>
  <c r="E58" i="5"/>
  <c r="D58" i="5"/>
  <c r="F57" i="5"/>
  <c r="E57" i="5"/>
  <c r="D57" i="5"/>
  <c r="F56" i="5"/>
  <c r="E56" i="5"/>
  <c r="D56" i="5"/>
  <c r="F55" i="5"/>
  <c r="E55" i="5"/>
  <c r="D55" i="5"/>
  <c r="F54" i="5"/>
  <c r="E54" i="5"/>
  <c r="D54" i="5"/>
  <c r="F53" i="5"/>
  <c r="E53" i="5"/>
  <c r="D53" i="5"/>
  <c r="C65" i="5"/>
  <c r="C63" i="5"/>
  <c r="C61" i="5"/>
  <c r="C60" i="5"/>
  <c r="C59" i="5"/>
  <c r="C58" i="5"/>
  <c r="C57" i="5"/>
  <c r="C56" i="5"/>
  <c r="C55" i="5"/>
  <c r="C54" i="5"/>
  <c r="C53" i="5"/>
  <c r="F49" i="5"/>
  <c r="E49" i="5"/>
  <c r="D49" i="5"/>
  <c r="F47" i="5"/>
  <c r="E47" i="5"/>
  <c r="D47" i="5"/>
  <c r="F45" i="5"/>
  <c r="E45" i="5"/>
  <c r="D45" i="5"/>
  <c r="F44" i="5"/>
  <c r="E44" i="5"/>
  <c r="D44" i="5"/>
  <c r="F43" i="5"/>
  <c r="E43" i="5"/>
  <c r="D43" i="5"/>
  <c r="F42" i="5"/>
  <c r="E42" i="5"/>
  <c r="D42" i="5"/>
  <c r="F41" i="5"/>
  <c r="E41" i="5"/>
  <c r="D41" i="5"/>
  <c r="F40" i="5"/>
  <c r="E40" i="5"/>
  <c r="D40" i="5"/>
  <c r="F39" i="5"/>
  <c r="E39" i="5"/>
  <c r="D39" i="5"/>
  <c r="F38" i="5"/>
  <c r="E38" i="5"/>
  <c r="D38" i="5"/>
  <c r="F37" i="5"/>
  <c r="E37" i="5"/>
  <c r="D37" i="5"/>
  <c r="C49" i="5"/>
  <c r="C47" i="5"/>
  <c r="C45" i="5"/>
  <c r="C44" i="5"/>
  <c r="C43" i="5"/>
  <c r="C42" i="5"/>
  <c r="C41" i="5"/>
  <c r="C40" i="5"/>
  <c r="C39" i="5"/>
  <c r="C38" i="5"/>
  <c r="C37" i="5"/>
  <c r="F32" i="5"/>
  <c r="E32" i="5"/>
  <c r="D32" i="5"/>
  <c r="F30" i="5"/>
  <c r="E30" i="5"/>
  <c r="D30" i="5"/>
  <c r="F28" i="5"/>
  <c r="E28" i="5"/>
  <c r="D28" i="5"/>
  <c r="F27" i="5"/>
  <c r="E27" i="5"/>
  <c r="D27" i="5"/>
  <c r="F26" i="5"/>
  <c r="E26" i="5"/>
  <c r="D26" i="5"/>
  <c r="F25" i="5"/>
  <c r="E25" i="5"/>
  <c r="D25" i="5"/>
  <c r="F24" i="5"/>
  <c r="E24" i="5"/>
  <c r="D24" i="5"/>
  <c r="F23" i="5"/>
  <c r="E23" i="5"/>
  <c r="D23" i="5"/>
  <c r="F22" i="5"/>
  <c r="E22" i="5"/>
  <c r="D22" i="5"/>
  <c r="F21" i="5"/>
  <c r="E21" i="5"/>
  <c r="D21" i="5"/>
  <c r="F20" i="5"/>
  <c r="E20" i="5"/>
  <c r="D20" i="5"/>
  <c r="C32" i="5"/>
  <c r="C30" i="5"/>
  <c r="C28" i="5"/>
  <c r="C27" i="5"/>
  <c r="C26" i="5"/>
  <c r="C25" i="5"/>
  <c r="C24" i="5"/>
  <c r="C23" i="5"/>
  <c r="C22" i="5"/>
  <c r="C21" i="5"/>
  <c r="C20" i="5"/>
  <c r="C16" i="5"/>
  <c r="C14" i="5"/>
  <c r="C12" i="5"/>
  <c r="C11" i="5"/>
  <c r="C10" i="5"/>
  <c r="C9" i="5"/>
  <c r="C8" i="5"/>
  <c r="C7" i="5"/>
  <c r="C6" i="5"/>
  <c r="C5" i="5"/>
  <c r="F16" i="5"/>
  <c r="E16" i="5"/>
  <c r="D16" i="5"/>
  <c r="F14" i="5"/>
  <c r="E14" i="5"/>
  <c r="D14" i="5"/>
  <c r="F12" i="5"/>
  <c r="E12" i="5"/>
  <c r="D12" i="5"/>
  <c r="F11" i="5"/>
  <c r="E11" i="5"/>
  <c r="D11" i="5"/>
  <c r="F10" i="5"/>
  <c r="E10" i="5"/>
  <c r="D10" i="5"/>
  <c r="F9" i="5"/>
  <c r="E9" i="5"/>
  <c r="D9" i="5"/>
  <c r="F8" i="5"/>
  <c r="E8" i="5"/>
  <c r="D8" i="5"/>
  <c r="F7" i="5"/>
  <c r="E7" i="5"/>
  <c r="D7" i="5"/>
  <c r="F6" i="5"/>
  <c r="E6" i="5"/>
  <c r="D6" i="5"/>
  <c r="F5" i="5"/>
  <c r="E5" i="5"/>
  <c r="D5" i="5"/>
  <c r="F4" i="5"/>
  <c r="E4" i="5"/>
  <c r="D4" i="5"/>
  <c r="C4" i="5"/>
  <c r="F61" i="4"/>
  <c r="E61" i="4"/>
  <c r="D61" i="4"/>
  <c r="F59" i="4"/>
  <c r="E59" i="4"/>
  <c r="D59" i="4"/>
  <c r="F56" i="4"/>
  <c r="E56" i="4"/>
  <c r="D56" i="4"/>
  <c r="F52" i="4"/>
  <c r="E52" i="4"/>
  <c r="D52" i="4"/>
  <c r="F51" i="4"/>
  <c r="E51" i="4"/>
  <c r="D51" i="4"/>
  <c r="F49" i="4"/>
  <c r="E49" i="4"/>
  <c r="D49" i="4"/>
  <c r="C61" i="4"/>
  <c r="C59" i="4"/>
  <c r="C56" i="4"/>
  <c r="C52" i="4"/>
  <c r="C51" i="4"/>
  <c r="C49" i="4"/>
  <c r="J34" i="4"/>
  <c r="J46" i="4"/>
  <c r="C46" i="4" s="1"/>
  <c r="F46" i="4"/>
  <c r="E46" i="4"/>
  <c r="D46" i="4"/>
  <c r="F44" i="4"/>
  <c r="E44" i="4"/>
  <c r="D44" i="4"/>
  <c r="F43" i="4"/>
  <c r="E43" i="4"/>
  <c r="D43" i="4"/>
  <c r="F42" i="4"/>
  <c r="E42" i="4"/>
  <c r="D42" i="4"/>
  <c r="F41" i="4"/>
  <c r="E41" i="4"/>
  <c r="D41" i="4"/>
  <c r="F40" i="4"/>
  <c r="E40" i="4"/>
  <c r="D40" i="4"/>
  <c r="F39" i="4"/>
  <c r="E39" i="4"/>
  <c r="D39" i="4"/>
  <c r="F38" i="4"/>
  <c r="E38" i="4"/>
  <c r="D38" i="4"/>
  <c r="F37" i="4"/>
  <c r="E37" i="4"/>
  <c r="D37" i="4"/>
  <c r="F36" i="4"/>
  <c r="E36" i="4"/>
  <c r="D36" i="4"/>
  <c r="F35" i="4"/>
  <c r="E35" i="4"/>
  <c r="D35" i="4"/>
  <c r="F34" i="4"/>
  <c r="E34" i="4"/>
  <c r="D34" i="4"/>
  <c r="C44" i="4"/>
  <c r="C43" i="4"/>
  <c r="C42" i="4"/>
  <c r="C41" i="4"/>
  <c r="C40" i="4"/>
  <c r="C38" i="4"/>
  <c r="C37" i="4"/>
  <c r="C36" i="4"/>
  <c r="C35" i="4"/>
  <c r="C34" i="4"/>
  <c r="F31" i="4"/>
  <c r="E31" i="4"/>
  <c r="D31" i="4"/>
  <c r="F29" i="4"/>
  <c r="E29" i="4"/>
  <c r="D29" i="4"/>
  <c r="F28" i="4"/>
  <c r="E28" i="4"/>
  <c r="D28" i="4"/>
  <c r="F27" i="4"/>
  <c r="E27" i="4"/>
  <c r="D27" i="4"/>
  <c r="F26" i="4"/>
  <c r="E26" i="4"/>
  <c r="D26" i="4"/>
  <c r="F25" i="4"/>
  <c r="E25" i="4"/>
  <c r="D25" i="4"/>
  <c r="F24" i="4"/>
  <c r="E24" i="4"/>
  <c r="D24" i="4"/>
  <c r="F23" i="4"/>
  <c r="E23" i="4"/>
  <c r="D23" i="4"/>
  <c r="F22" i="4"/>
  <c r="E22" i="4"/>
  <c r="D22" i="4"/>
  <c r="F21" i="4"/>
  <c r="E21" i="4"/>
  <c r="D21" i="4"/>
  <c r="F20" i="4"/>
  <c r="E20" i="4"/>
  <c r="D20" i="4"/>
  <c r="F19" i="4"/>
  <c r="E19" i="4"/>
  <c r="D19" i="4"/>
  <c r="C31" i="4"/>
  <c r="C29" i="4"/>
  <c r="C28" i="4"/>
  <c r="C27" i="4"/>
  <c r="C26" i="4"/>
  <c r="C25" i="4"/>
  <c r="C24" i="4"/>
  <c r="C23" i="4"/>
  <c r="C22" i="4"/>
  <c r="C21" i="4"/>
  <c r="C20" i="4"/>
  <c r="C19" i="4"/>
  <c r="F16" i="4"/>
  <c r="E16" i="4"/>
  <c r="D16" i="4"/>
  <c r="F14" i="4"/>
  <c r="E14" i="4"/>
  <c r="D14" i="4"/>
  <c r="F13" i="4"/>
  <c r="E13" i="4"/>
  <c r="D13" i="4"/>
  <c r="F12" i="4"/>
  <c r="E12" i="4"/>
  <c r="D12" i="4"/>
  <c r="F11" i="4"/>
  <c r="E11" i="4"/>
  <c r="D11" i="4"/>
  <c r="F10" i="4"/>
  <c r="E10" i="4"/>
  <c r="D10" i="4"/>
  <c r="F9" i="4"/>
  <c r="E9" i="4"/>
  <c r="D9" i="4"/>
  <c r="F8" i="4"/>
  <c r="E8" i="4"/>
  <c r="D8" i="4"/>
  <c r="F7" i="4"/>
  <c r="E7" i="4"/>
  <c r="D7" i="4"/>
  <c r="F6" i="4"/>
  <c r="E6" i="4"/>
  <c r="D6" i="4"/>
  <c r="F5" i="4"/>
  <c r="E5" i="4"/>
  <c r="D5" i="4"/>
  <c r="F4" i="4"/>
  <c r="E4" i="4"/>
  <c r="D4" i="4"/>
  <c r="C16" i="4"/>
  <c r="C14" i="4"/>
  <c r="C13" i="4"/>
  <c r="C12" i="4"/>
  <c r="C11" i="4"/>
  <c r="C10" i="4"/>
  <c r="C9" i="4"/>
  <c r="C8" i="4"/>
  <c r="C7" i="4"/>
  <c r="C6" i="4"/>
  <c r="C5" i="4"/>
  <c r="C4" i="4"/>
  <c r="M61" i="4"/>
  <c r="L61" i="4"/>
  <c r="K61" i="4"/>
  <c r="J61" i="4"/>
  <c r="M46" i="4"/>
  <c r="L46" i="4"/>
  <c r="K46" i="4"/>
  <c r="M31" i="4"/>
  <c r="L31" i="4"/>
  <c r="K31" i="4"/>
  <c r="J31" i="4"/>
  <c r="M16" i="4"/>
  <c r="L16" i="4"/>
  <c r="K16" i="4"/>
  <c r="J16" i="4"/>
  <c r="M9" i="4"/>
  <c r="L9" i="4"/>
  <c r="K9" i="4"/>
  <c r="J9" i="4"/>
  <c r="J24" i="4"/>
  <c r="M24" i="4"/>
  <c r="L24" i="4"/>
  <c r="K24" i="4"/>
  <c r="M39" i="4"/>
  <c r="L39" i="4"/>
  <c r="K39" i="4"/>
  <c r="J39" i="4"/>
  <c r="C39" i="4" s="1"/>
  <c r="M54" i="4"/>
  <c r="L54" i="4"/>
  <c r="K54" i="4"/>
  <c r="J54" i="4"/>
  <c r="M49" i="4"/>
  <c r="L49" i="4"/>
  <c r="K49" i="4"/>
  <c r="J49" i="4"/>
  <c r="M34" i="4"/>
  <c r="L34" i="4"/>
  <c r="K34" i="4"/>
  <c r="M19" i="4"/>
  <c r="L19" i="4"/>
  <c r="K19" i="4"/>
  <c r="J19" i="4"/>
  <c r="M4" i="4"/>
  <c r="L4" i="4"/>
  <c r="K4" i="4"/>
  <c r="J4" i="4"/>
  <c r="Q14" i="3"/>
  <c r="R14" i="3"/>
  <c r="S14" i="3"/>
  <c r="Q15" i="3"/>
  <c r="R15" i="3"/>
  <c r="S15" i="3"/>
  <c r="Q16" i="3"/>
  <c r="R16" i="3"/>
  <c r="S16" i="3"/>
  <c r="Q17" i="3"/>
  <c r="R17" i="3"/>
  <c r="S17" i="3"/>
  <c r="P17" i="3"/>
  <c r="P16" i="3"/>
  <c r="P15" i="3"/>
  <c r="P14" i="3"/>
  <c r="M17" i="3"/>
  <c r="L17" i="3"/>
  <c r="K17" i="3"/>
  <c r="M16" i="3"/>
  <c r="L16" i="3"/>
  <c r="K16" i="3"/>
  <c r="M15" i="3"/>
  <c r="L15" i="3"/>
  <c r="K15" i="3"/>
  <c r="M14" i="3"/>
  <c r="L14" i="3"/>
  <c r="K14" i="3"/>
  <c r="J16" i="3"/>
  <c r="J17" i="3"/>
  <c r="J15" i="3"/>
  <c r="J14" i="3"/>
  <c r="E14" i="3"/>
  <c r="F14" i="3"/>
  <c r="G14" i="3"/>
  <c r="E15" i="3"/>
  <c r="F15" i="3"/>
  <c r="G15" i="3"/>
  <c r="E16" i="3"/>
  <c r="F16" i="3"/>
  <c r="G16" i="3"/>
  <c r="E17" i="3"/>
  <c r="F17" i="3"/>
  <c r="G17" i="3"/>
  <c r="D17" i="3"/>
  <c r="D16" i="3"/>
  <c r="D15" i="3"/>
  <c r="D14" i="3"/>
  <c r="D34" i="2"/>
  <c r="E34" i="2"/>
  <c r="F34" i="2"/>
  <c r="D35" i="2"/>
  <c r="E35" i="2"/>
  <c r="F35" i="2"/>
  <c r="D36" i="2"/>
  <c r="E36" i="2"/>
  <c r="F36" i="2"/>
  <c r="D37" i="2"/>
  <c r="E37" i="2"/>
  <c r="F37" i="2"/>
  <c r="D38" i="2"/>
  <c r="E38" i="2"/>
  <c r="F38" i="2"/>
  <c r="D39" i="2"/>
  <c r="E39" i="2"/>
  <c r="F39" i="2"/>
  <c r="D40" i="2"/>
  <c r="E40" i="2"/>
  <c r="F40" i="2"/>
  <c r="D41" i="2"/>
  <c r="E41" i="2"/>
  <c r="F41" i="2"/>
  <c r="D42" i="2"/>
  <c r="E42" i="2"/>
  <c r="F42" i="2"/>
  <c r="D43" i="2"/>
  <c r="E43" i="2"/>
  <c r="F43" i="2"/>
  <c r="D44" i="2"/>
  <c r="E44" i="2"/>
  <c r="F44" i="2"/>
  <c r="D46" i="2"/>
  <c r="E46" i="2"/>
  <c r="F46" i="2"/>
  <c r="C46" i="2"/>
  <c r="C44" i="2"/>
  <c r="C43" i="2"/>
  <c r="C42" i="2"/>
  <c r="C41" i="2"/>
  <c r="C40" i="2"/>
  <c r="C39" i="2"/>
  <c r="C38" i="2"/>
  <c r="C37" i="2"/>
  <c r="C36" i="2"/>
  <c r="C35" i="2"/>
  <c r="C34" i="2"/>
  <c r="M46" i="2"/>
  <c r="L46" i="2"/>
  <c r="K46" i="2"/>
  <c r="J46" i="2"/>
  <c r="M39" i="2"/>
  <c r="L39" i="2"/>
  <c r="K39" i="2"/>
  <c r="J39" i="2"/>
  <c r="M34" i="2"/>
  <c r="L34" i="2"/>
  <c r="K34" i="2"/>
  <c r="J34" i="2"/>
  <c r="C5" i="2"/>
  <c r="C6" i="2"/>
  <c r="C7" i="2"/>
  <c r="C8" i="2"/>
  <c r="C9" i="2"/>
  <c r="C10" i="2"/>
  <c r="C11" i="2"/>
  <c r="C12" i="2"/>
  <c r="C13" i="2"/>
  <c r="C14" i="2"/>
  <c r="C16" i="2"/>
  <c r="D19" i="2"/>
  <c r="E19" i="2"/>
  <c r="F19" i="2"/>
  <c r="D20" i="2"/>
  <c r="E20" i="2"/>
  <c r="F20" i="2"/>
  <c r="D21" i="2"/>
  <c r="E21" i="2"/>
  <c r="F21" i="2"/>
  <c r="D22" i="2"/>
  <c r="E22" i="2"/>
  <c r="F22" i="2"/>
  <c r="D23" i="2"/>
  <c r="E23" i="2"/>
  <c r="F23" i="2"/>
  <c r="D24" i="2"/>
  <c r="E24" i="2"/>
  <c r="F24" i="2"/>
  <c r="D25" i="2"/>
  <c r="E25" i="2"/>
  <c r="F25" i="2"/>
  <c r="D26" i="2"/>
  <c r="E26" i="2"/>
  <c r="F26" i="2"/>
  <c r="D27" i="2"/>
  <c r="E27" i="2"/>
  <c r="F27" i="2"/>
  <c r="D28" i="2"/>
  <c r="E28" i="2"/>
  <c r="F28" i="2"/>
  <c r="D29" i="2"/>
  <c r="E29" i="2"/>
  <c r="F29" i="2"/>
  <c r="D31" i="2"/>
  <c r="E31" i="2"/>
  <c r="F31" i="2"/>
  <c r="C31" i="2"/>
  <c r="C29" i="2"/>
  <c r="C28" i="2"/>
  <c r="C27" i="2"/>
  <c r="C26" i="2"/>
  <c r="C25" i="2"/>
  <c r="C24" i="2"/>
  <c r="C23" i="2"/>
  <c r="C22" i="2"/>
  <c r="C21" i="2"/>
  <c r="C20" i="2"/>
  <c r="C19" i="2"/>
  <c r="K19" i="2"/>
  <c r="L19" i="2"/>
  <c r="M19" i="2"/>
  <c r="M31" i="2" s="1"/>
  <c r="K24" i="2"/>
  <c r="L24" i="2"/>
  <c r="M24" i="2"/>
  <c r="J31" i="2"/>
  <c r="J24" i="2"/>
  <c r="J19" i="2"/>
  <c r="F16" i="2"/>
  <c r="E16" i="2"/>
  <c r="D16" i="2"/>
  <c r="F14" i="2"/>
  <c r="E14" i="2"/>
  <c r="D14" i="2"/>
  <c r="F13" i="2"/>
  <c r="E13" i="2"/>
  <c r="D13" i="2"/>
  <c r="F12" i="2"/>
  <c r="E12" i="2"/>
  <c r="D12" i="2"/>
  <c r="F11" i="2"/>
  <c r="E11" i="2"/>
  <c r="D11" i="2"/>
  <c r="F10" i="2"/>
  <c r="E10" i="2"/>
  <c r="D10" i="2"/>
  <c r="F9" i="2"/>
  <c r="E9" i="2"/>
  <c r="D9" i="2"/>
  <c r="F8" i="2"/>
  <c r="E8" i="2"/>
  <c r="D8" i="2"/>
  <c r="F7" i="2"/>
  <c r="E7" i="2"/>
  <c r="D7" i="2"/>
  <c r="F6" i="2"/>
  <c r="E6" i="2"/>
  <c r="D6" i="2"/>
  <c r="F5" i="2"/>
  <c r="E5" i="2"/>
  <c r="D5" i="2"/>
  <c r="E4" i="2"/>
  <c r="D4" i="2"/>
  <c r="C4" i="2"/>
  <c r="F17" i="1"/>
  <c r="E17" i="1"/>
  <c r="D17" i="1"/>
  <c r="F16" i="1"/>
  <c r="E16" i="1"/>
  <c r="D16" i="1"/>
  <c r="F15" i="1"/>
  <c r="E15" i="1"/>
  <c r="D15" i="1"/>
  <c r="F14" i="1"/>
  <c r="E14" i="1"/>
  <c r="D14" i="1"/>
  <c r="F13" i="1"/>
  <c r="E13" i="1"/>
  <c r="D13" i="1"/>
  <c r="F12" i="1"/>
  <c r="F19" i="1" s="1"/>
  <c r="E12" i="1"/>
  <c r="D12" i="1"/>
  <c r="D19" i="1" s="1"/>
  <c r="F11" i="1"/>
  <c r="E11" i="1"/>
  <c r="D11" i="1"/>
  <c r="F10" i="1"/>
  <c r="E10" i="1"/>
  <c r="D10" i="1"/>
  <c r="F9" i="1"/>
  <c r="E9" i="1"/>
  <c r="D9" i="1"/>
  <c r="F8" i="1"/>
  <c r="E8" i="1"/>
  <c r="D8" i="1"/>
  <c r="F7" i="1"/>
  <c r="E7" i="1"/>
  <c r="E19" i="1" s="1"/>
  <c r="D7" i="1"/>
  <c r="C17" i="1"/>
  <c r="C16" i="1"/>
  <c r="C15" i="1"/>
  <c r="C14" i="1"/>
  <c r="C13" i="1"/>
  <c r="C12" i="1"/>
  <c r="C11" i="1"/>
  <c r="C10" i="1"/>
  <c r="C9" i="1"/>
  <c r="C8" i="1"/>
  <c r="C7" i="1"/>
  <c r="K31" i="2" l="1"/>
  <c r="L31" i="2"/>
  <c r="C19" i="1"/>
  <c r="M16" i="2"/>
  <c r="L16" i="2"/>
  <c r="K16" i="2"/>
  <c r="J16" i="2"/>
  <c r="M9" i="2"/>
  <c r="L9" i="2"/>
  <c r="K9" i="2"/>
  <c r="J9" i="2"/>
  <c r="J4" i="2"/>
  <c r="M4" i="2"/>
  <c r="L4" i="2"/>
  <c r="K4" i="2"/>
  <c r="M7" i="1"/>
  <c r="L7" i="1"/>
  <c r="K7" i="1"/>
  <c r="J7" i="1"/>
  <c r="J19" i="1" s="1"/>
  <c r="M12" i="1"/>
  <c r="L12" i="1"/>
  <c r="K12" i="1"/>
  <c r="J12" i="1"/>
  <c r="F9" i="3"/>
  <c r="L9" i="3"/>
  <c r="R9" i="3"/>
  <c r="R8" i="3"/>
  <c r="L8" i="3"/>
  <c r="F8" i="3"/>
  <c r="C8" i="3" s="1"/>
  <c r="F7" i="3"/>
  <c r="C7" i="3" s="1"/>
  <c r="L7" i="3"/>
  <c r="R7" i="3"/>
  <c r="F6" i="3"/>
  <c r="C6" i="3" s="1"/>
  <c r="R6" i="3"/>
  <c r="L6" i="3"/>
  <c r="K19" i="1" l="1"/>
  <c r="L19" i="1"/>
  <c r="M19" i="1"/>
  <c r="S12" i="1" l="1"/>
  <c r="S7" i="1"/>
  <c r="R7" i="1"/>
  <c r="R12" i="1"/>
  <c r="Q7" i="1"/>
  <c r="Q12" i="1"/>
  <c r="R19" i="1" l="1"/>
  <c r="S19" i="1"/>
  <c r="Q19" i="1"/>
  <c r="P7" i="1"/>
  <c r="P12" i="1"/>
  <c r="P19" i="1" l="1"/>
</calcChain>
</file>

<file path=xl/sharedStrings.xml><?xml version="1.0" encoding="utf-8"?>
<sst xmlns="http://schemas.openxmlformats.org/spreadsheetml/2006/main" count="513" uniqueCount="49">
  <si>
    <t>estructura</t>
  </si>
  <si>
    <t>Total</t>
  </si>
  <si>
    <t>Sector Formal</t>
  </si>
  <si>
    <t>Autónomos profesionales</t>
  </si>
  <si>
    <t>Asalariados Privados</t>
  </si>
  <si>
    <t>Asalariados Públicos</t>
  </si>
  <si>
    <t>Patrones</t>
  </si>
  <si>
    <t>Sector Informal</t>
  </si>
  <si>
    <t>Patrones (Micro)</t>
  </si>
  <si>
    <t>Asalariados Privados (Micro)</t>
  </si>
  <si>
    <t>Autónomos no profesionales</t>
  </si>
  <si>
    <t>Trabajo Familiar</t>
  </si>
  <si>
    <t>Empleo doméstico</t>
  </si>
  <si>
    <t>Total urbano</t>
  </si>
  <si>
    <t>Total rural</t>
  </si>
  <si>
    <t>1 2023</t>
  </si>
  <si>
    <t>4 2023</t>
  </si>
  <si>
    <t>3 2023</t>
  </si>
  <si>
    <t>2 2023</t>
  </si>
  <si>
    <t>Ocupados</t>
  </si>
  <si>
    <t>1 2024</t>
  </si>
  <si>
    <t>2 2024</t>
  </si>
  <si>
    <t>3 2024</t>
  </si>
  <si>
    <t>4 2024</t>
  </si>
  <si>
    <t>Jovénes (hasta 24 años)</t>
  </si>
  <si>
    <t>Mujeres</t>
  </si>
  <si>
    <t>Migrantes</t>
  </si>
  <si>
    <t>Contrato temporario</t>
  </si>
  <si>
    <t>Sector formal</t>
  </si>
  <si>
    <t>Sector informal</t>
  </si>
  <si>
    <t>privado</t>
  </si>
  <si>
    <t>público</t>
  </si>
  <si>
    <t>Asalariados</t>
  </si>
  <si>
    <t>Aportes del empleador</t>
  </si>
  <si>
    <t>total</t>
  </si>
  <si>
    <t>subocupados</t>
  </si>
  <si>
    <t>más de una ocupación</t>
  </si>
  <si>
    <t>aportes por su cuenta</t>
  </si>
  <si>
    <t>sobreocupados</t>
  </si>
  <si>
    <t>ingreso horario (media)</t>
  </si>
  <si>
    <t>ingreso horario (mediana)</t>
  </si>
  <si>
    <t xml:space="preserve">              </t>
  </si>
  <si>
    <t>p21 (media)</t>
  </si>
  <si>
    <t>p21 (mediana)</t>
  </si>
  <si>
    <t xml:space="preserve"> </t>
  </si>
  <si>
    <t>Total secfor temporario</t>
  </si>
  <si>
    <t xml:space="preserve"> Índice: Ingreso Asalariados Privados</t>
  </si>
  <si>
    <t>IPC</t>
  </si>
  <si>
    <t>promedio 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</si>
</sst>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8">
    <xf numFmtId="0" fontId="0" fillId="0" borderId="0" xfId="0"/>
    <xf numFmtId="3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/>
    </xf>
    <xf numFmtId="3" fontId="4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3" fontId="0" fillId="2" borderId="0" xfId="0" applyNumberFormat="1" applyFill="1"/>
    <xf numFmtId="0" fontId="4" fillId="0" borderId="0" xfId="0" applyFont="1" applyAlignment="1">
      <alignment horizontal="center" wrapText="1"/>
    </xf>
    <xf numFmtId="9" fontId="4" fillId="0" borderId="0" xfId="1" applyFont="1"/>
    <xf numFmtId="164" fontId="4" fillId="0" borderId="0" xfId="1" applyNumberFormat="1" applyFont="1"/>
    <xf numFmtId="164" fontId="3" fillId="0" borderId="0" xfId="1" applyNumberFormat="1" applyFont="1"/>
    <xf numFmtId="164" fontId="0" fillId="0" borderId="0" xfId="1" applyNumberFormat="1" applyFont="1"/>
    <xf numFmtId="165" fontId="0" fillId="0" borderId="0" xfId="0" applyNumberFormat="1"/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41"/>
  <sheetViews>
    <sheetView tabSelected="1" workbookViewId="0"/>
  </sheetViews>
  <sheetFormatPr baseColWidth="10" defaultRowHeight="15" x14ac:dyDescent="0.25"/>
  <cols>
    <col min="2" max="2" width="23.28515625" customWidth="1"/>
    <col min="9" max="9" width="23.28515625" customWidth="1"/>
  </cols>
  <sheetData>
    <row r="2" spans="2:24" x14ac:dyDescent="0.25">
      <c r="J2" s="1"/>
    </row>
    <row r="3" spans="2:24" x14ac:dyDescent="0.25">
      <c r="B3" t="s">
        <v>1</v>
      </c>
      <c r="I3" t="s">
        <v>1</v>
      </c>
    </row>
    <row r="5" spans="2:24" x14ac:dyDescent="0.25">
      <c r="B5" t="s">
        <v>0</v>
      </c>
      <c r="C5" s="5" t="s">
        <v>15</v>
      </c>
      <c r="D5" s="5" t="s">
        <v>18</v>
      </c>
      <c r="E5" s="5" t="s">
        <v>17</v>
      </c>
      <c r="F5" s="5" t="s">
        <v>16</v>
      </c>
      <c r="G5" s="5">
        <v>2023</v>
      </c>
      <c r="J5" t="s">
        <v>15</v>
      </c>
      <c r="K5" t="s">
        <v>18</v>
      </c>
      <c r="L5" t="s">
        <v>17</v>
      </c>
      <c r="M5" t="s">
        <v>16</v>
      </c>
      <c r="N5">
        <v>2023</v>
      </c>
      <c r="P5" t="s">
        <v>20</v>
      </c>
      <c r="Q5" t="s">
        <v>21</v>
      </c>
      <c r="R5" t="s">
        <v>22</v>
      </c>
      <c r="S5" t="s">
        <v>23</v>
      </c>
    </row>
    <row r="7" spans="2:24" x14ac:dyDescent="0.25">
      <c r="B7" s="2" t="s">
        <v>2</v>
      </c>
      <c r="C7" s="12">
        <f>+J7/J$19</f>
        <v>0.62388653426832674</v>
      </c>
      <c r="D7" s="12">
        <f t="shared" ref="D7:G17" si="0">+K7/K$19</f>
        <v>0.61574311560454753</v>
      </c>
      <c r="E7" s="12">
        <f t="shared" si="0"/>
        <v>0.62542017729986565</v>
      </c>
      <c r="F7" s="12">
        <f t="shared" si="0"/>
        <v>0.62145854989947535</v>
      </c>
      <c r="G7" s="12">
        <f>+N7/N$19</f>
        <v>0.62166228782038535</v>
      </c>
      <c r="I7" s="2" t="s">
        <v>2</v>
      </c>
      <c r="J7" s="4">
        <f>SUM(J8:J11)</f>
        <v>7184021</v>
      </c>
      <c r="K7" s="4">
        <f>SUM(K8:K11)</f>
        <v>6992026</v>
      </c>
      <c r="L7" s="4">
        <f>SUM(L8:L11)</f>
        <v>7329027</v>
      </c>
      <c r="M7" s="4">
        <f>SUM(M8:M11)</f>
        <v>7425692</v>
      </c>
      <c r="N7" s="4">
        <f>SUM(J7:M7)</f>
        <v>28930766</v>
      </c>
      <c r="P7" s="4">
        <f>SUM(P8:P11)</f>
        <v>7184021</v>
      </c>
      <c r="Q7" s="4">
        <f>SUM(Q8:Q11)</f>
        <v>7412348</v>
      </c>
      <c r="R7" s="4">
        <f>SUM(R8:R11)</f>
        <v>7273340</v>
      </c>
      <c r="S7" s="4">
        <f>SUM(S8:S11)</f>
        <v>7421696</v>
      </c>
    </row>
    <row r="8" spans="2:24" x14ac:dyDescent="0.25">
      <c r="B8" s="3" t="s">
        <v>3</v>
      </c>
      <c r="C8" s="13">
        <f t="shared" ref="C8:C17" si="1">+J8/J$19</f>
        <v>4.8762964452813855E-2</v>
      </c>
      <c r="D8" s="13">
        <f t="shared" si="0"/>
        <v>4.9184323936035168E-2</v>
      </c>
      <c r="E8" s="13">
        <f t="shared" si="0"/>
        <v>4.8690944667713155E-2</v>
      </c>
      <c r="F8" s="13">
        <f t="shared" si="0"/>
        <v>5.3110296395131464E-2</v>
      </c>
      <c r="G8" s="13">
        <f t="shared" si="0"/>
        <v>4.996384333381975E-2</v>
      </c>
      <c r="I8" s="3" t="s">
        <v>3</v>
      </c>
      <c r="J8" s="1">
        <v>561503</v>
      </c>
      <c r="K8" s="1">
        <v>558509</v>
      </c>
      <c r="L8" s="1">
        <v>570588</v>
      </c>
      <c r="M8" s="1">
        <v>634605</v>
      </c>
      <c r="N8" s="1">
        <f t="shared" ref="N8:N17" si="2">SUM(J8:M8)</f>
        <v>2325205</v>
      </c>
      <c r="P8" s="1">
        <v>561503</v>
      </c>
      <c r="Q8" s="1">
        <v>675046</v>
      </c>
      <c r="R8" s="1">
        <v>621380</v>
      </c>
      <c r="S8" s="1">
        <v>681956</v>
      </c>
      <c r="W8">
        <v>4.54</v>
      </c>
      <c r="X8">
        <v>4.54</v>
      </c>
    </row>
    <row r="9" spans="2:24" x14ac:dyDescent="0.25">
      <c r="B9" s="3" t="s">
        <v>4</v>
      </c>
      <c r="C9" s="13">
        <f t="shared" si="1"/>
        <v>0.36209012841395377</v>
      </c>
      <c r="D9" s="13">
        <f t="shared" si="0"/>
        <v>0.35186461944583852</v>
      </c>
      <c r="E9" s="13">
        <f t="shared" si="0"/>
        <v>0.35172958463770948</v>
      </c>
      <c r="F9" s="13">
        <f t="shared" si="0"/>
        <v>0.35308477921614473</v>
      </c>
      <c r="G9" s="13">
        <f t="shared" si="0"/>
        <v>0.35467402132629822</v>
      </c>
      <c r="I9" s="3" t="s">
        <v>4</v>
      </c>
      <c r="J9" s="1">
        <v>4169449</v>
      </c>
      <c r="K9" s="1">
        <v>3995573</v>
      </c>
      <c r="L9" s="1">
        <v>4121766</v>
      </c>
      <c r="M9" s="1">
        <v>4218944</v>
      </c>
      <c r="N9" s="1">
        <f t="shared" si="2"/>
        <v>16505732</v>
      </c>
      <c r="P9" s="1">
        <v>4169449</v>
      </c>
      <c r="Q9" s="1">
        <v>4368945</v>
      </c>
      <c r="R9" s="1">
        <v>4223089</v>
      </c>
      <c r="S9" s="1">
        <v>4372604</v>
      </c>
      <c r="W9">
        <v>33.68</v>
      </c>
      <c r="X9">
        <v>38.22</v>
      </c>
    </row>
    <row r="10" spans="2:24" x14ac:dyDescent="0.25">
      <c r="B10" s="3" t="s">
        <v>5</v>
      </c>
      <c r="C10" s="13">
        <f t="shared" si="1"/>
        <v>0.20313448223995453</v>
      </c>
      <c r="D10" s="13">
        <f t="shared" si="0"/>
        <v>0.20545392084331132</v>
      </c>
      <c r="E10" s="13">
        <f t="shared" si="0"/>
        <v>0.2148443090088249</v>
      </c>
      <c r="F10" s="13">
        <f t="shared" si="0"/>
        <v>0.20586747821729237</v>
      </c>
      <c r="G10" s="13">
        <f t="shared" si="0"/>
        <v>0.20735077174869188</v>
      </c>
      <c r="I10" s="3" t="s">
        <v>5</v>
      </c>
      <c r="J10" s="1">
        <v>2339083</v>
      </c>
      <c r="K10" s="1">
        <v>2333017</v>
      </c>
      <c r="L10" s="1">
        <v>2517667</v>
      </c>
      <c r="M10" s="1">
        <v>2459872</v>
      </c>
      <c r="N10" s="1">
        <f t="shared" si="2"/>
        <v>9649639</v>
      </c>
      <c r="P10" s="1">
        <v>2339083</v>
      </c>
      <c r="Q10" s="1">
        <v>2271100</v>
      </c>
      <c r="R10" s="1">
        <v>2336893</v>
      </c>
      <c r="S10" s="1">
        <v>2240731</v>
      </c>
      <c r="W10">
        <v>18.899999999999999</v>
      </c>
      <c r="X10">
        <v>57.12</v>
      </c>
    </row>
    <row r="11" spans="2:24" x14ac:dyDescent="0.25">
      <c r="B11" s="3" t="s">
        <v>6</v>
      </c>
      <c r="C11" s="13">
        <f t="shared" si="1"/>
        <v>9.8989591616045515E-3</v>
      </c>
      <c r="D11" s="13">
        <f t="shared" si="0"/>
        <v>9.2402513793624838E-3</v>
      </c>
      <c r="E11" s="13">
        <f t="shared" si="0"/>
        <v>1.015533898561812E-2</v>
      </c>
      <c r="F11" s="13">
        <f t="shared" si="0"/>
        <v>9.3959960709067928E-3</v>
      </c>
      <c r="G11" s="13">
        <f t="shared" si="0"/>
        <v>9.6736514115754579E-3</v>
      </c>
      <c r="I11" s="3" t="s">
        <v>6</v>
      </c>
      <c r="J11" s="1">
        <v>113986</v>
      </c>
      <c r="K11" s="1">
        <v>104927</v>
      </c>
      <c r="L11" s="1">
        <v>119006</v>
      </c>
      <c r="M11" s="1">
        <v>112271</v>
      </c>
      <c r="N11" s="1">
        <f t="shared" si="2"/>
        <v>450190</v>
      </c>
      <c r="P11" s="1">
        <v>113986</v>
      </c>
      <c r="Q11" s="1">
        <v>97257</v>
      </c>
      <c r="R11" s="1">
        <v>91978</v>
      </c>
      <c r="S11" s="1">
        <v>126405</v>
      </c>
      <c r="W11">
        <v>0.92</v>
      </c>
      <c r="X11">
        <v>58.04</v>
      </c>
    </row>
    <row r="12" spans="2:24" x14ac:dyDescent="0.25">
      <c r="B12" s="2" t="s">
        <v>7</v>
      </c>
      <c r="C12" s="12">
        <f t="shared" si="1"/>
        <v>0.37611346573167331</v>
      </c>
      <c r="D12" s="12">
        <f t="shared" si="0"/>
        <v>0.38425688439545252</v>
      </c>
      <c r="E12" s="12">
        <f t="shared" si="0"/>
        <v>0.37457982270013435</v>
      </c>
      <c r="F12" s="12">
        <f t="shared" si="0"/>
        <v>0.37854145010052465</v>
      </c>
      <c r="G12" s="12">
        <f t="shared" si="0"/>
        <v>0.3783377121796147</v>
      </c>
      <c r="I12" s="2" t="s">
        <v>7</v>
      </c>
      <c r="J12" s="4">
        <f>SUM(J13:J16)</f>
        <v>4330927</v>
      </c>
      <c r="K12" s="4">
        <f>SUM(K13:K16)</f>
        <v>4363401</v>
      </c>
      <c r="L12" s="4">
        <f>SUM(L13:L16)</f>
        <v>4389538</v>
      </c>
      <c r="M12" s="4">
        <f>SUM(M13:M16)</f>
        <v>4523121</v>
      </c>
      <c r="N12" s="4">
        <f t="shared" si="2"/>
        <v>17606987</v>
      </c>
      <c r="P12" s="4">
        <f>SUM(P13:P16)</f>
        <v>4330927</v>
      </c>
      <c r="Q12" s="4">
        <f>SUM(Q13:Q16)</f>
        <v>4356821</v>
      </c>
      <c r="R12" s="4">
        <f>SUM(R13:R16)</f>
        <v>4720358</v>
      </c>
      <c r="S12" s="4">
        <f>SUM(S13:S16)</f>
        <v>4678926</v>
      </c>
      <c r="W12">
        <v>2.61</v>
      </c>
      <c r="X12">
        <v>60.65</v>
      </c>
    </row>
    <row r="13" spans="2:24" x14ac:dyDescent="0.25">
      <c r="B13" s="3" t="s">
        <v>8</v>
      </c>
      <c r="C13" s="13">
        <f t="shared" si="1"/>
        <v>2.8033561245782438E-2</v>
      </c>
      <c r="D13" s="13">
        <f t="shared" si="0"/>
        <v>2.6899296697517408E-2</v>
      </c>
      <c r="E13" s="13">
        <f t="shared" si="0"/>
        <v>2.5107767034615588E-2</v>
      </c>
      <c r="F13" s="13">
        <f t="shared" si="0"/>
        <v>2.8180958225725014E-2</v>
      </c>
      <c r="G13" s="13">
        <f t="shared" si="0"/>
        <v>2.7057902860071478E-2</v>
      </c>
      <c r="I13" s="3" t="s">
        <v>8</v>
      </c>
      <c r="J13" s="1">
        <v>322805</v>
      </c>
      <c r="K13" s="1">
        <v>305453</v>
      </c>
      <c r="L13" s="1">
        <v>294227</v>
      </c>
      <c r="M13" s="1">
        <v>336729</v>
      </c>
      <c r="N13" s="1">
        <f t="shared" si="2"/>
        <v>1259214</v>
      </c>
      <c r="P13" s="1">
        <v>322805</v>
      </c>
      <c r="Q13" s="1">
        <v>283109</v>
      </c>
      <c r="R13" s="1">
        <v>339537</v>
      </c>
      <c r="S13" s="1">
        <v>350323</v>
      </c>
      <c r="W13">
        <v>13.12</v>
      </c>
      <c r="X13">
        <v>73.77</v>
      </c>
    </row>
    <row r="14" spans="2:24" x14ac:dyDescent="0.25">
      <c r="B14" s="3" t="s">
        <v>9</v>
      </c>
      <c r="C14" s="13">
        <f t="shared" si="1"/>
        <v>0.14108661194127842</v>
      </c>
      <c r="D14" s="13">
        <f t="shared" si="0"/>
        <v>0.14520792569050903</v>
      </c>
      <c r="E14" s="13">
        <f t="shared" si="0"/>
        <v>0.14726717819118637</v>
      </c>
      <c r="F14" s="13">
        <f t="shared" si="0"/>
        <v>0.14464817551333342</v>
      </c>
      <c r="G14" s="13">
        <f t="shared" si="0"/>
        <v>0.14456299598306777</v>
      </c>
      <c r="I14" s="3" t="s">
        <v>9</v>
      </c>
      <c r="J14" s="1">
        <v>1624605</v>
      </c>
      <c r="K14" s="1">
        <v>1648898</v>
      </c>
      <c r="L14" s="1">
        <v>1725760</v>
      </c>
      <c r="M14" s="1">
        <v>1728374</v>
      </c>
      <c r="N14" s="1">
        <f t="shared" si="2"/>
        <v>6727637</v>
      </c>
      <c r="P14" s="1">
        <v>1624605</v>
      </c>
      <c r="Q14" s="1">
        <v>1652625</v>
      </c>
      <c r="R14" s="1">
        <v>1841441</v>
      </c>
      <c r="S14" s="1">
        <v>1729585</v>
      </c>
      <c r="W14">
        <v>18.89</v>
      </c>
      <c r="X14">
        <v>92.66</v>
      </c>
    </row>
    <row r="15" spans="2:24" x14ac:dyDescent="0.25">
      <c r="B15" s="3" t="s">
        <v>10</v>
      </c>
      <c r="C15" s="13">
        <f t="shared" si="1"/>
        <v>0.20304850703624541</v>
      </c>
      <c r="D15" s="13">
        <f t="shared" si="0"/>
        <v>0.20838018684810355</v>
      </c>
      <c r="E15" s="13">
        <f t="shared" si="0"/>
        <v>0.19776261001240339</v>
      </c>
      <c r="F15" s="13">
        <f t="shared" si="0"/>
        <v>0.20212894787122371</v>
      </c>
      <c r="G15" s="13">
        <f t="shared" si="0"/>
        <v>0.20278233029428816</v>
      </c>
      <c r="I15" s="3" t="s">
        <v>10</v>
      </c>
      <c r="J15" s="1">
        <v>2338093</v>
      </c>
      <c r="K15" s="1">
        <v>2366246</v>
      </c>
      <c r="L15" s="1">
        <v>2317494</v>
      </c>
      <c r="M15" s="1">
        <v>2415201</v>
      </c>
      <c r="N15" s="1">
        <f t="shared" si="2"/>
        <v>9437034</v>
      </c>
      <c r="P15" s="1">
        <v>2338093</v>
      </c>
      <c r="Q15" s="1">
        <v>2386167</v>
      </c>
      <c r="R15" s="1">
        <v>2492717</v>
      </c>
      <c r="S15" s="1">
        <v>2553199</v>
      </c>
      <c r="W15">
        <v>0.37</v>
      </c>
      <c r="X15">
        <v>93.03</v>
      </c>
    </row>
    <row r="16" spans="2:24" x14ac:dyDescent="0.25">
      <c r="B16" s="3" t="s">
        <v>11</v>
      </c>
      <c r="C16" s="13">
        <f t="shared" si="1"/>
        <v>3.944785508367037E-3</v>
      </c>
      <c r="D16" s="13">
        <f t="shared" si="0"/>
        <v>3.7694751593224983E-3</v>
      </c>
      <c r="E16" s="13">
        <f t="shared" si="0"/>
        <v>4.4422674619289991E-3</v>
      </c>
      <c r="F16" s="13">
        <f t="shared" si="0"/>
        <v>3.5833684902425037E-3</v>
      </c>
      <c r="G16" s="13">
        <f t="shared" si="0"/>
        <v>3.9344830421872753E-3</v>
      </c>
      <c r="I16" s="3" t="s">
        <v>11</v>
      </c>
      <c r="J16" s="1">
        <v>45424</v>
      </c>
      <c r="K16" s="1">
        <v>42804</v>
      </c>
      <c r="L16" s="1">
        <v>52057</v>
      </c>
      <c r="M16" s="1">
        <v>42817</v>
      </c>
      <c r="N16" s="1">
        <f t="shared" si="2"/>
        <v>183102</v>
      </c>
      <c r="P16" s="1">
        <v>45424</v>
      </c>
      <c r="Q16" s="1">
        <v>34920</v>
      </c>
      <c r="R16" s="1">
        <v>46663</v>
      </c>
      <c r="S16" s="1">
        <v>45819</v>
      </c>
      <c r="W16">
        <v>6.97</v>
      </c>
      <c r="X16">
        <v>100</v>
      </c>
    </row>
    <row r="17" spans="2:19" x14ac:dyDescent="0.25">
      <c r="B17" s="2" t="s">
        <v>12</v>
      </c>
      <c r="C17" s="12">
        <f t="shared" si="1"/>
        <v>7.4959956397545172E-2</v>
      </c>
      <c r="D17" s="12">
        <f t="shared" si="0"/>
        <v>7.2075933384099081E-2</v>
      </c>
      <c r="E17" s="12">
        <f t="shared" si="0"/>
        <v>6.8599781628552639E-2</v>
      </c>
      <c r="F17" s="12">
        <f t="shared" si="0"/>
        <v>7.0493696737910283E-2</v>
      </c>
      <c r="G17" s="12">
        <f t="shared" si="0"/>
        <v>7.1507964727046444E-2</v>
      </c>
      <c r="I17" s="2" t="s">
        <v>12</v>
      </c>
      <c r="J17" s="1">
        <v>863160</v>
      </c>
      <c r="K17" s="1">
        <v>818453</v>
      </c>
      <c r="L17" s="1">
        <v>803891</v>
      </c>
      <c r="M17" s="1">
        <v>842316</v>
      </c>
      <c r="N17" s="1">
        <f t="shared" si="2"/>
        <v>3327820</v>
      </c>
      <c r="P17" s="1">
        <v>863160</v>
      </c>
      <c r="Q17" s="1">
        <v>852634</v>
      </c>
      <c r="R17" s="1">
        <v>790880</v>
      </c>
      <c r="S17" s="1">
        <v>837467</v>
      </c>
    </row>
    <row r="18" spans="2:19" x14ac:dyDescent="0.25">
      <c r="P18" s="1"/>
    </row>
    <row r="19" spans="2:19" x14ac:dyDescent="0.25">
      <c r="B19" s="7" t="s">
        <v>19</v>
      </c>
      <c r="C19" s="11">
        <f>+C7+C12</f>
        <v>1</v>
      </c>
      <c r="D19" s="11">
        <f t="shared" ref="D19:F19" si="3">+D7+D12</f>
        <v>1</v>
      </c>
      <c r="E19" s="11">
        <f t="shared" si="3"/>
        <v>1</v>
      </c>
      <c r="F19" s="11">
        <f t="shared" si="3"/>
        <v>1</v>
      </c>
      <c r="G19" s="11">
        <f t="shared" ref="G19" si="4">+G7+G12</f>
        <v>1</v>
      </c>
      <c r="I19" s="7" t="s">
        <v>19</v>
      </c>
      <c r="J19" s="4">
        <f>+J7+J12</f>
        <v>11514948</v>
      </c>
      <c r="K19" s="4">
        <f>+K7+K12</f>
        <v>11355427</v>
      </c>
      <c r="L19" s="4">
        <f>+L7+L12</f>
        <v>11718565</v>
      </c>
      <c r="M19" s="4">
        <f>+M7+M12</f>
        <v>11948813</v>
      </c>
      <c r="N19" s="4">
        <f>SUM(J19:M19)</f>
        <v>46537753</v>
      </c>
      <c r="P19" s="4">
        <f>+P7+P12</f>
        <v>11514948</v>
      </c>
      <c r="Q19" s="4">
        <f>+Q7+Q12</f>
        <v>11769169</v>
      </c>
      <c r="R19" s="4">
        <f>+R7+R12</f>
        <v>11993698</v>
      </c>
      <c r="S19" s="4">
        <f>+S7+S12</f>
        <v>12100622</v>
      </c>
    </row>
    <row r="20" spans="2:19" x14ac:dyDescent="0.25">
      <c r="C20" s="5"/>
      <c r="D20" s="5"/>
      <c r="E20" s="5"/>
      <c r="F20" s="5"/>
      <c r="J20" s="5"/>
      <c r="K20" s="5"/>
      <c r="L20" s="5"/>
      <c r="M20" s="5"/>
      <c r="N20" s="5"/>
    </row>
    <row r="22" spans="2:19" x14ac:dyDescent="0.25">
      <c r="B22" t="s">
        <v>13</v>
      </c>
      <c r="I22" t="s">
        <v>13</v>
      </c>
    </row>
    <row r="24" spans="2:19" x14ac:dyDescent="0.25">
      <c r="B24" s="2" t="s">
        <v>2</v>
      </c>
      <c r="I24" s="2" t="s">
        <v>2</v>
      </c>
    </row>
    <row r="25" spans="2:19" x14ac:dyDescent="0.25">
      <c r="B25" s="3" t="s">
        <v>3</v>
      </c>
      <c r="I25" s="3" t="s">
        <v>3</v>
      </c>
    </row>
    <row r="26" spans="2:19" x14ac:dyDescent="0.25">
      <c r="B26" s="3" t="s">
        <v>4</v>
      </c>
      <c r="I26" s="3" t="s">
        <v>4</v>
      </c>
    </row>
    <row r="27" spans="2:19" x14ac:dyDescent="0.25">
      <c r="B27" s="3" t="s">
        <v>5</v>
      </c>
      <c r="I27" s="3" t="s">
        <v>5</v>
      </c>
    </row>
    <row r="28" spans="2:19" x14ac:dyDescent="0.25">
      <c r="B28" s="3" t="s">
        <v>6</v>
      </c>
      <c r="I28" s="3" t="s">
        <v>6</v>
      </c>
    </row>
    <row r="29" spans="2:19" x14ac:dyDescent="0.25">
      <c r="B29" s="2" t="s">
        <v>7</v>
      </c>
      <c r="I29" s="2" t="s">
        <v>7</v>
      </c>
    </row>
    <row r="30" spans="2:19" x14ac:dyDescent="0.25">
      <c r="B30" s="3" t="s">
        <v>8</v>
      </c>
      <c r="I30" s="3" t="s">
        <v>8</v>
      </c>
    </row>
    <row r="31" spans="2:19" x14ac:dyDescent="0.25">
      <c r="B31" s="3" t="s">
        <v>9</v>
      </c>
      <c r="I31" s="3" t="s">
        <v>9</v>
      </c>
    </row>
    <row r="32" spans="2:19" x14ac:dyDescent="0.25">
      <c r="B32" s="3" t="s">
        <v>10</v>
      </c>
      <c r="I32" s="3" t="s">
        <v>10</v>
      </c>
    </row>
    <row r="33" spans="2:9" x14ac:dyDescent="0.25">
      <c r="B33" s="3" t="s">
        <v>11</v>
      </c>
      <c r="I33" s="3" t="s">
        <v>11</v>
      </c>
    </row>
    <row r="34" spans="2:9" x14ac:dyDescent="0.25">
      <c r="B34" s="2" t="s">
        <v>12</v>
      </c>
      <c r="I34" s="2" t="s">
        <v>12</v>
      </c>
    </row>
    <row r="35" spans="2:9" x14ac:dyDescent="0.25">
      <c r="B35" s="3" t="s">
        <v>11</v>
      </c>
      <c r="I35" s="3" t="s">
        <v>11</v>
      </c>
    </row>
    <row r="36" spans="2:9" x14ac:dyDescent="0.25">
      <c r="B36" s="2" t="s">
        <v>12</v>
      </c>
      <c r="I36" s="2" t="s">
        <v>12</v>
      </c>
    </row>
    <row r="41" spans="2:9" x14ac:dyDescent="0.25">
      <c r="B41" t="s">
        <v>14</v>
      </c>
      <c r="I41" t="s">
        <v>14</v>
      </c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6"/>
  <sheetViews>
    <sheetView workbookViewId="0">
      <selection activeCell="I1" sqref="I1"/>
    </sheetView>
  </sheetViews>
  <sheetFormatPr baseColWidth="10" defaultRowHeight="15" x14ac:dyDescent="0.25"/>
  <cols>
    <col min="2" max="2" width="28.140625" customWidth="1"/>
    <col min="9" max="9" width="28.140625" customWidth="1"/>
  </cols>
  <sheetData>
    <row r="2" spans="2:17" x14ac:dyDescent="0.25">
      <c r="B2" s="8"/>
      <c r="I2" s="8"/>
    </row>
    <row r="3" spans="2:17" x14ac:dyDescent="0.25">
      <c r="B3" s="8" t="s">
        <v>24</v>
      </c>
      <c r="C3" t="s">
        <v>15</v>
      </c>
      <c r="D3" s="1" t="s">
        <v>18</v>
      </c>
      <c r="E3" t="s">
        <v>17</v>
      </c>
      <c r="F3" t="s">
        <v>16</v>
      </c>
      <c r="G3">
        <v>2023</v>
      </c>
      <c r="I3" s="8" t="s">
        <v>24</v>
      </c>
      <c r="J3" t="s">
        <v>15</v>
      </c>
      <c r="K3" s="1" t="s">
        <v>18</v>
      </c>
      <c r="L3" t="s">
        <v>17</v>
      </c>
      <c r="M3" t="s">
        <v>16</v>
      </c>
      <c r="N3">
        <v>2023</v>
      </c>
    </row>
    <row r="4" spans="2:17" x14ac:dyDescent="0.25">
      <c r="B4" s="2" t="s">
        <v>2</v>
      </c>
      <c r="C4" s="12">
        <f>+J4/'1'!J7</f>
        <v>9.4316678639998403E-2</v>
      </c>
      <c r="D4" s="12">
        <f>+K4/'1'!K7</f>
        <v>8.4830205150838972E-2</v>
      </c>
      <c r="E4" s="12">
        <f>+L4/'1'!L7</f>
        <v>8.0193046089201206E-2</v>
      </c>
      <c r="F4" s="12">
        <f>+M4/'1'!M7</f>
        <v>8.2177257015238439E-2</v>
      </c>
      <c r="G4" s="12">
        <f>+N4/'1'!N7</f>
        <v>8.5330198308610286E-2</v>
      </c>
      <c r="I4" s="2" t="s">
        <v>2</v>
      </c>
      <c r="J4" s="4">
        <f>SUM(J5:J8)</f>
        <v>677573</v>
      </c>
      <c r="K4" s="4">
        <f>SUM(K5:K8)</f>
        <v>593135</v>
      </c>
      <c r="L4" s="4">
        <f>SUM(L5:L8)</f>
        <v>587737</v>
      </c>
      <c r="M4" s="4">
        <f>SUM(M5:M8)</f>
        <v>610223</v>
      </c>
      <c r="N4" s="4">
        <f>SUM(J4:M4)</f>
        <v>2468668</v>
      </c>
    </row>
    <row r="5" spans="2:17" x14ac:dyDescent="0.25">
      <c r="B5" s="3" t="s">
        <v>3</v>
      </c>
      <c r="C5" s="13">
        <f>+J5/'1'!J8</f>
        <v>1.1291124001118426E-2</v>
      </c>
      <c r="D5" s="13">
        <f>+K5/'1'!K8</f>
        <v>9.5235707929505163E-3</v>
      </c>
      <c r="E5" s="13">
        <f>+L5/'1'!L8</f>
        <v>1.8563306624043967E-2</v>
      </c>
      <c r="F5" s="13">
        <f>+M5/'1'!M8</f>
        <v>8.5612310019618498E-3</v>
      </c>
      <c r="G5" s="13">
        <f>+N5/'1'!N8</f>
        <v>1.1906046993705932E-2</v>
      </c>
      <c r="H5" s="1"/>
      <c r="I5" s="3" t="s">
        <v>3</v>
      </c>
      <c r="J5" s="1">
        <v>6340</v>
      </c>
      <c r="K5" s="1">
        <v>5319</v>
      </c>
      <c r="L5" s="1">
        <v>10592</v>
      </c>
      <c r="M5" s="1">
        <v>5433</v>
      </c>
      <c r="N5" s="1">
        <f t="shared" ref="N5:N14" si="0">SUM(J5:M5)</f>
        <v>27684</v>
      </c>
      <c r="O5" s="1"/>
      <c r="Q5" s="1"/>
    </row>
    <row r="6" spans="2:17" x14ac:dyDescent="0.25">
      <c r="B6" s="3" t="s">
        <v>4</v>
      </c>
      <c r="C6" s="13">
        <f>+J6/'1'!J9</f>
        <v>0.12626008856326099</v>
      </c>
      <c r="D6" s="13">
        <f>+K6/'1'!K9</f>
        <v>0.10858943135315009</v>
      </c>
      <c r="E6" s="13">
        <f>+L6/'1'!L9</f>
        <v>0.11076271675781692</v>
      </c>
      <c r="F6" s="13">
        <f>+M6/'1'!M9</f>
        <v>0.11906415444243867</v>
      </c>
      <c r="G6" s="13">
        <f>+N6/'1'!N9</f>
        <v>0.11627324374344622</v>
      </c>
      <c r="H6" s="1"/>
      <c r="I6" s="3" t="s">
        <v>4</v>
      </c>
      <c r="J6" s="1">
        <v>526435</v>
      </c>
      <c r="K6" s="1">
        <v>433877</v>
      </c>
      <c r="L6" s="1">
        <v>456538</v>
      </c>
      <c r="M6" s="1">
        <v>502325</v>
      </c>
      <c r="N6" s="1">
        <f t="shared" si="0"/>
        <v>1919175</v>
      </c>
      <c r="O6" s="1"/>
      <c r="Q6" s="1"/>
    </row>
    <row r="7" spans="2:17" x14ac:dyDescent="0.25">
      <c r="B7" s="3" t="s">
        <v>5</v>
      </c>
      <c r="C7" s="13">
        <f>+J7/'1'!J10</f>
        <v>6.1797721585766727E-2</v>
      </c>
      <c r="D7" s="13">
        <f>+K7/'1'!K10</f>
        <v>6.5931795610576355E-2</v>
      </c>
      <c r="E7" s="13">
        <f>+L7/'1'!L10</f>
        <v>4.7125374404160675E-2</v>
      </c>
      <c r="F7" s="13">
        <f>+M7/'1'!M10</f>
        <v>4.1380201896684052E-2</v>
      </c>
      <c r="G7" s="13">
        <f>+N7/'1'!N10</f>
        <v>5.3764291078661076E-2</v>
      </c>
      <c r="H7" s="1"/>
      <c r="I7" s="3" t="s">
        <v>5</v>
      </c>
      <c r="J7" s="1">
        <v>144550</v>
      </c>
      <c r="K7" s="1">
        <v>153820</v>
      </c>
      <c r="L7" s="1">
        <v>118646</v>
      </c>
      <c r="M7" s="1">
        <v>101790</v>
      </c>
      <c r="N7" s="1">
        <f t="shared" si="0"/>
        <v>518806</v>
      </c>
      <c r="O7" s="1"/>
      <c r="Q7" s="1"/>
    </row>
    <row r="8" spans="2:17" x14ac:dyDescent="0.25">
      <c r="B8" s="3" t="s">
        <v>6</v>
      </c>
      <c r="C8" s="13">
        <f>+J8/'1'!J11</f>
        <v>2.175705788430158E-3</v>
      </c>
      <c r="D8" s="13">
        <f>+K8/'1'!K11</f>
        <v>1.1341218180258657E-3</v>
      </c>
      <c r="E8" s="13">
        <f>+L8/'1'!L11</f>
        <v>1.6478160765003445E-2</v>
      </c>
      <c r="F8" s="13">
        <f>+M8/'1'!M11</f>
        <v>6.0122382449608533E-3</v>
      </c>
      <c r="G8" s="13">
        <f>+N8/'1'!N11</f>
        <v>6.6705168928674558E-3</v>
      </c>
      <c r="H8" s="1"/>
      <c r="I8" s="3" t="s">
        <v>6</v>
      </c>
      <c r="J8" s="1">
        <v>248</v>
      </c>
      <c r="K8">
        <v>119</v>
      </c>
      <c r="L8" s="1">
        <v>1961</v>
      </c>
      <c r="M8" s="1">
        <v>675</v>
      </c>
      <c r="N8" s="1">
        <f t="shared" si="0"/>
        <v>3003</v>
      </c>
      <c r="O8" s="1"/>
      <c r="Q8" s="1"/>
    </row>
    <row r="9" spans="2:17" x14ac:dyDescent="0.25">
      <c r="B9" s="2" t="s">
        <v>7</v>
      </c>
      <c r="C9" s="12">
        <f>+J9/'1'!J12</f>
        <v>0.13452362508072752</v>
      </c>
      <c r="D9" s="12">
        <f>+K9/'1'!K12</f>
        <v>0.13101271233150472</v>
      </c>
      <c r="E9" s="12">
        <f>+L9/'1'!L12</f>
        <v>0.14531871007837271</v>
      </c>
      <c r="F9" s="12">
        <f>+M9/'1'!M12</f>
        <v>0.14420441106925949</v>
      </c>
      <c r="G9" s="12">
        <f>+N9/'1'!N12</f>
        <v>0.13883176036876724</v>
      </c>
      <c r="H9" s="1"/>
      <c r="I9" s="2" t="s">
        <v>7</v>
      </c>
      <c r="J9" s="4">
        <f>SUM(J10:J13)</f>
        <v>582612</v>
      </c>
      <c r="K9" s="4">
        <f>SUM(K10:K13)</f>
        <v>571661</v>
      </c>
      <c r="L9" s="4">
        <f>SUM(L10:L13)</f>
        <v>637882</v>
      </c>
      <c r="M9" s="4">
        <f>SUM(M10:M13)</f>
        <v>652254</v>
      </c>
      <c r="N9" s="4">
        <f t="shared" si="0"/>
        <v>2444409</v>
      </c>
      <c r="O9" s="1"/>
      <c r="Q9" s="1"/>
    </row>
    <row r="10" spans="2:17" x14ac:dyDescent="0.25">
      <c r="B10" s="3" t="s">
        <v>8</v>
      </c>
      <c r="C10" s="13">
        <f>+J10/'1'!J13</f>
        <v>3.6170443456575954E-2</v>
      </c>
      <c r="D10" s="13">
        <f>+K10/'1'!K13</f>
        <v>2.0392662700971998E-2</v>
      </c>
      <c r="E10" s="13">
        <f>+L10/'1'!L13</f>
        <v>1.9437373184649945E-2</v>
      </c>
      <c r="F10" s="13">
        <f>+M10/'1'!M13</f>
        <v>2.5109212452743897E-2</v>
      </c>
      <c r="G10" s="13">
        <f>+N10/'1'!N13</f>
        <v>2.5475415616408332E-2</v>
      </c>
      <c r="H10" s="1"/>
      <c r="I10" s="3" t="s">
        <v>8</v>
      </c>
      <c r="J10" s="1">
        <v>11676</v>
      </c>
      <c r="K10" s="1">
        <v>6229</v>
      </c>
      <c r="L10" s="1">
        <v>5719</v>
      </c>
      <c r="M10" s="1">
        <v>8455</v>
      </c>
      <c r="N10" s="1">
        <f t="shared" si="0"/>
        <v>32079</v>
      </c>
      <c r="O10" s="1"/>
      <c r="Q10" s="1"/>
    </row>
    <row r="11" spans="2:17" x14ac:dyDescent="0.25">
      <c r="B11" s="3" t="s">
        <v>9</v>
      </c>
      <c r="C11" s="13">
        <f>+J11/'1'!J14</f>
        <v>0.22637748868186422</v>
      </c>
      <c r="D11" s="13">
        <f>+K11/'1'!K14</f>
        <v>0.21649368244730724</v>
      </c>
      <c r="E11" s="13">
        <f>+L11/'1'!L14</f>
        <v>0.24240276747635825</v>
      </c>
      <c r="F11" s="13">
        <f>+M11/'1'!M14</f>
        <v>0.24137194843245732</v>
      </c>
      <c r="G11" s="13">
        <f>+N11/'1'!N14</f>
        <v>0.23191798249519111</v>
      </c>
      <c r="H11" s="1"/>
      <c r="I11" s="3" t="s">
        <v>9</v>
      </c>
      <c r="J11" s="1">
        <v>367774</v>
      </c>
      <c r="K11" s="1">
        <v>356976</v>
      </c>
      <c r="L11" s="1">
        <v>418329</v>
      </c>
      <c r="M11" s="1">
        <v>417181</v>
      </c>
      <c r="N11" s="1">
        <f t="shared" si="0"/>
        <v>1560260</v>
      </c>
      <c r="O11" s="1"/>
      <c r="Q11" s="1"/>
    </row>
    <row r="12" spans="2:17" x14ac:dyDescent="0.25">
      <c r="B12" s="3" t="s">
        <v>10</v>
      </c>
      <c r="C12" s="13">
        <f>+J12/'1'!J15</f>
        <v>7.7203088157742225E-2</v>
      </c>
      <c r="D12" s="13">
        <f>+K12/'1'!K15</f>
        <v>8.2216303799351381E-2</v>
      </c>
      <c r="E12" s="13">
        <f>+L12/'1'!L15</f>
        <v>8.2819200394909323E-2</v>
      </c>
      <c r="F12" s="13">
        <f>+M12/'1'!M15</f>
        <v>8.7620036593227646E-2</v>
      </c>
      <c r="G12" s="13">
        <f>+N12/'1'!N15</f>
        <v>8.2505265955383864E-2</v>
      </c>
      <c r="H12" s="1"/>
      <c r="I12" s="3" t="s">
        <v>10</v>
      </c>
      <c r="J12" s="1">
        <v>180508</v>
      </c>
      <c r="K12" s="1">
        <v>194544</v>
      </c>
      <c r="L12" s="1">
        <v>191933</v>
      </c>
      <c r="M12" s="1">
        <v>211620</v>
      </c>
      <c r="N12" s="1">
        <f t="shared" si="0"/>
        <v>778605</v>
      </c>
      <c r="O12" s="1"/>
      <c r="Q12" s="1"/>
    </row>
    <row r="13" spans="2:17" x14ac:dyDescent="0.25">
      <c r="B13" s="3" t="s">
        <v>11</v>
      </c>
      <c r="C13" s="13">
        <f>+J13/'1'!J16</f>
        <v>0.49872314195139134</v>
      </c>
      <c r="D13" s="13">
        <f>+K13/'1'!K16</f>
        <v>0.32501635361181197</v>
      </c>
      <c r="E13" s="13">
        <f>+L13/'1'!L16</f>
        <v>0.42071191194267821</v>
      </c>
      <c r="F13" s="13">
        <f>+M13/'1'!M16</f>
        <v>0.35028143027302239</v>
      </c>
      <c r="G13" s="13">
        <f>+N13/'1'!N16</f>
        <v>0.40122445412939234</v>
      </c>
      <c r="H13" s="1"/>
      <c r="I13" s="3" t="s">
        <v>11</v>
      </c>
      <c r="J13" s="1">
        <v>22654</v>
      </c>
      <c r="K13" s="1">
        <v>13912</v>
      </c>
      <c r="L13" s="1">
        <v>21901</v>
      </c>
      <c r="M13" s="1">
        <v>14998</v>
      </c>
      <c r="N13" s="1">
        <f t="shared" si="0"/>
        <v>73465</v>
      </c>
      <c r="O13" s="1"/>
      <c r="Q13" s="1"/>
    </row>
    <row r="14" spans="2:17" x14ac:dyDescent="0.25">
      <c r="B14" s="2" t="s">
        <v>12</v>
      </c>
      <c r="C14" s="12">
        <f>+J14/'1'!J17</f>
        <v>9.5707632420408736E-2</v>
      </c>
      <c r="D14" s="12">
        <f>+K14/'1'!K17</f>
        <v>0.11042662193186414</v>
      </c>
      <c r="E14" s="12">
        <f>+L14/'1'!L17</f>
        <v>9.5333820132331368E-2</v>
      </c>
      <c r="F14" s="12">
        <f>+M14/'1'!M17</f>
        <v>9.4120258905208976E-2</v>
      </c>
      <c r="G14" s="12">
        <f>+N14/'1'!N17</f>
        <v>9.8835574039461263E-2</v>
      </c>
      <c r="I14" s="2" t="s">
        <v>12</v>
      </c>
      <c r="J14" s="1">
        <v>82611</v>
      </c>
      <c r="K14" s="1">
        <v>90379</v>
      </c>
      <c r="L14" s="1">
        <v>76638</v>
      </c>
      <c r="M14" s="1">
        <v>79279</v>
      </c>
      <c r="N14" s="1">
        <f t="shared" si="0"/>
        <v>328907</v>
      </c>
    </row>
    <row r="16" spans="2:17" x14ac:dyDescent="0.25">
      <c r="B16" s="7" t="s">
        <v>19</v>
      </c>
      <c r="C16" s="12">
        <f>+J16/'1'!J19</f>
        <v>0.1094390526123088</v>
      </c>
      <c r="D16" s="12">
        <f>+K16/'1'!K19</f>
        <v>0.10257615147365221</v>
      </c>
      <c r="E16" s="12">
        <f>+L16/'1'!L19</f>
        <v>0.10458780575949359</v>
      </c>
      <c r="F16" s="12">
        <f>+M16/'1'!M19</f>
        <v>0.1056571058564562</v>
      </c>
      <c r="G16" s="12">
        <f>+N16/'1'!N19</f>
        <v>0.10557185689648574</v>
      </c>
      <c r="I16" s="7" t="s">
        <v>19</v>
      </c>
      <c r="J16" s="4">
        <f>+J4+J9</f>
        <v>1260185</v>
      </c>
      <c r="K16" s="4">
        <f>+K4+K9</f>
        <v>1164796</v>
      </c>
      <c r="L16" s="4">
        <f>+L4+L9</f>
        <v>1225619</v>
      </c>
      <c r="M16" s="4">
        <f>+M4+M9</f>
        <v>1262477</v>
      </c>
      <c r="N16" s="4">
        <f>SUM(J16:M16)</f>
        <v>4913077</v>
      </c>
    </row>
    <row r="17" spans="2:17" x14ac:dyDescent="0.25">
      <c r="C17" s="4"/>
      <c r="D17" s="4"/>
      <c r="E17" s="4"/>
      <c r="F17" s="4"/>
      <c r="G17" s="4"/>
      <c r="J17" s="4"/>
      <c r="K17" s="4"/>
      <c r="L17" s="4"/>
      <c r="M17" s="4"/>
      <c r="N17" s="4"/>
    </row>
    <row r="18" spans="2:17" x14ac:dyDescent="0.25">
      <c r="B18" s="8" t="s">
        <v>25</v>
      </c>
      <c r="C18" t="s">
        <v>15</v>
      </c>
      <c r="D18" s="1" t="s">
        <v>18</v>
      </c>
      <c r="E18" t="s">
        <v>17</v>
      </c>
      <c r="F18" t="s">
        <v>16</v>
      </c>
      <c r="G18">
        <v>2023</v>
      </c>
      <c r="I18" s="8" t="s">
        <v>25</v>
      </c>
      <c r="J18" t="s">
        <v>15</v>
      </c>
      <c r="K18" s="1" t="s">
        <v>18</v>
      </c>
      <c r="L18" t="s">
        <v>17</v>
      </c>
      <c r="M18" t="s">
        <v>16</v>
      </c>
      <c r="N18">
        <v>2023</v>
      </c>
    </row>
    <row r="19" spans="2:17" x14ac:dyDescent="0.25">
      <c r="B19" s="2" t="s">
        <v>2</v>
      </c>
      <c r="C19" s="12">
        <f>+J19/'1'!J7</f>
        <v>0.43305441339884726</v>
      </c>
      <c r="D19" s="12">
        <f>+K19/'1'!K7</f>
        <v>0.44546430462358122</v>
      </c>
      <c r="E19" s="12">
        <f>+L19/'1'!L7</f>
        <v>0.44162055890911578</v>
      </c>
      <c r="F19" s="12">
        <f>+M19/'1'!M7</f>
        <v>0.44380187058660658</v>
      </c>
      <c r="G19" s="12">
        <f>+N19/'1'!N7</f>
        <v>0.44098227471751006</v>
      </c>
      <c r="H19" s="1"/>
      <c r="I19" s="2" t="s">
        <v>2</v>
      </c>
      <c r="J19" s="1">
        <f>SUM(J20:J23)</f>
        <v>3111072</v>
      </c>
      <c r="K19" s="1">
        <f t="shared" ref="K19:M19" si="1">SUM(K20:K23)</f>
        <v>3114698</v>
      </c>
      <c r="L19" s="1">
        <f t="shared" si="1"/>
        <v>3236649</v>
      </c>
      <c r="M19" s="1">
        <f t="shared" si="1"/>
        <v>3295536</v>
      </c>
      <c r="N19" s="4">
        <f>SUM(J19:M19)</f>
        <v>12757955</v>
      </c>
    </row>
    <row r="20" spans="2:17" x14ac:dyDescent="0.25">
      <c r="B20" s="3" t="s">
        <v>3</v>
      </c>
      <c r="C20" s="13">
        <f>+J20/'1'!J8</f>
        <v>0.55492846877042512</v>
      </c>
      <c r="D20" s="13">
        <f>+K20/'1'!K8</f>
        <v>0.54424906313058519</v>
      </c>
      <c r="E20" s="13">
        <f>+L20/'1'!L8</f>
        <v>0.53237362159736978</v>
      </c>
      <c r="F20" s="13">
        <f>+M20/'1'!M8</f>
        <v>0.52704123037164852</v>
      </c>
      <c r="G20" s="13">
        <f>+N20/'1'!N8</f>
        <v>0.53921740233656812</v>
      </c>
      <c r="H20" s="1"/>
      <c r="I20" s="3" t="s">
        <v>3</v>
      </c>
      <c r="J20" s="1">
        <v>311594</v>
      </c>
      <c r="K20" s="1">
        <v>303968</v>
      </c>
      <c r="L20" s="1">
        <v>303766</v>
      </c>
      <c r="M20" s="1">
        <v>334463</v>
      </c>
      <c r="N20" s="1">
        <f t="shared" ref="N20:N29" si="2">SUM(J20:M20)</f>
        <v>1253791</v>
      </c>
      <c r="P20" s="1"/>
      <c r="Q20" s="1"/>
    </row>
    <row r="21" spans="2:17" x14ac:dyDescent="0.25">
      <c r="B21" s="3" t="s">
        <v>4</v>
      </c>
      <c r="C21" s="13">
        <f>+J21/'1'!J9</f>
        <v>0.35974369754852498</v>
      </c>
      <c r="D21" s="13">
        <f>+K21/'1'!K9</f>
        <v>0.37347609466777354</v>
      </c>
      <c r="E21" s="13">
        <f>+L21/'1'!L9</f>
        <v>0.36380667898177627</v>
      </c>
      <c r="F21" s="13">
        <f>+M21/'1'!M9</f>
        <v>0.36798995198798562</v>
      </c>
      <c r="G21" s="13">
        <f>+N21/'1'!N9</f>
        <v>0.36619030285963688</v>
      </c>
      <c r="I21" s="3" t="s">
        <v>4</v>
      </c>
      <c r="J21" s="1">
        <v>1499933</v>
      </c>
      <c r="K21" s="1">
        <v>1492251</v>
      </c>
      <c r="L21" s="1">
        <v>1499526</v>
      </c>
      <c r="M21" s="1">
        <v>1552529</v>
      </c>
      <c r="N21" s="1">
        <f t="shared" si="2"/>
        <v>6044239</v>
      </c>
      <c r="P21" s="1"/>
      <c r="Q21" s="1"/>
    </row>
    <row r="22" spans="2:17" x14ac:dyDescent="0.25">
      <c r="B22" s="3" t="s">
        <v>5</v>
      </c>
      <c r="C22" s="13">
        <f>+J22/'1'!J10</f>
        <v>0.5404241747727635</v>
      </c>
      <c r="D22" s="13">
        <f>+K22/'1'!K10</f>
        <v>0.54880611671496604</v>
      </c>
      <c r="E22" s="13">
        <f>+L22/'1'!L10</f>
        <v>0.55844716557034746</v>
      </c>
      <c r="F22" s="13">
        <f>+M22/'1'!M10</f>
        <v>0.56146092154388516</v>
      </c>
      <c r="G22" s="13">
        <f>+N22/'1'!N10</f>
        <v>0.55251569514673038</v>
      </c>
      <c r="I22" s="3" t="s">
        <v>5</v>
      </c>
      <c r="J22" s="1">
        <v>1264097</v>
      </c>
      <c r="K22" s="1">
        <v>1280374</v>
      </c>
      <c r="L22" s="1">
        <v>1405984</v>
      </c>
      <c r="M22" s="1">
        <v>1381122</v>
      </c>
      <c r="N22" s="1">
        <f t="shared" si="2"/>
        <v>5331577</v>
      </c>
      <c r="P22" s="1"/>
      <c r="Q22" s="1"/>
    </row>
    <row r="23" spans="2:17" x14ac:dyDescent="0.25">
      <c r="B23" s="3" t="s">
        <v>6</v>
      </c>
      <c r="C23" s="13">
        <f>+J23/'1'!J11</f>
        <v>0.31098555963013003</v>
      </c>
      <c r="D23" s="13">
        <f>+K23/'1'!K11</f>
        <v>0.3631572426544169</v>
      </c>
      <c r="E23" s="13">
        <f>+L23/'1'!L11</f>
        <v>0.23001361275902055</v>
      </c>
      <c r="F23" s="13">
        <f>+M23/'1'!M11</f>
        <v>0.24424829207898746</v>
      </c>
      <c r="G23" s="13">
        <f>+N23/'1'!N11</f>
        <v>0.28509740331859884</v>
      </c>
      <c r="I23" s="3" t="s">
        <v>6</v>
      </c>
      <c r="J23" s="1">
        <v>35448</v>
      </c>
      <c r="K23" s="1">
        <v>38105</v>
      </c>
      <c r="L23" s="1">
        <v>27373</v>
      </c>
      <c r="M23" s="1">
        <v>27422</v>
      </c>
      <c r="N23" s="1">
        <f t="shared" si="2"/>
        <v>128348</v>
      </c>
      <c r="P23" s="1"/>
      <c r="Q23" s="1"/>
    </row>
    <row r="24" spans="2:17" x14ac:dyDescent="0.25">
      <c r="B24" s="2" t="s">
        <v>7</v>
      </c>
      <c r="C24" s="12">
        <f>+J24/'1'!J12</f>
        <v>0.55636379925129198</v>
      </c>
      <c r="D24" s="12">
        <f>+K24/'1'!K12</f>
        <v>0.54280365247200524</v>
      </c>
      <c r="E24" s="12">
        <f>+L24/'1'!L12</f>
        <v>0.54283434839839639</v>
      </c>
      <c r="F24" s="12">
        <f>+M24/'1'!M12</f>
        <v>0.5458954115974346</v>
      </c>
      <c r="G24" s="12">
        <f>+N24/'1'!N12</f>
        <v>0.54694105243560409</v>
      </c>
      <c r="I24" s="2" t="s">
        <v>7</v>
      </c>
      <c r="J24" s="1">
        <f>SUM(J25:J29)</f>
        <v>2409571</v>
      </c>
      <c r="K24" s="1">
        <f t="shared" ref="K24:M24" si="3">SUM(K25:K29)</f>
        <v>2368470</v>
      </c>
      <c r="L24" s="1">
        <f t="shared" si="3"/>
        <v>2382792</v>
      </c>
      <c r="M24" s="1">
        <f t="shared" si="3"/>
        <v>2469151</v>
      </c>
      <c r="N24" s="4">
        <f t="shared" si="2"/>
        <v>9629984</v>
      </c>
      <c r="P24" s="1"/>
      <c r="Q24" s="1"/>
    </row>
    <row r="25" spans="2:17" x14ac:dyDescent="0.25">
      <c r="B25" s="3" t="s">
        <v>8</v>
      </c>
      <c r="C25" s="13">
        <f>+J25/'1'!J13</f>
        <v>0.27979120521677175</v>
      </c>
      <c r="D25" s="13">
        <f>+K25/'1'!K13</f>
        <v>0.3014539061655967</v>
      </c>
      <c r="E25" s="13">
        <f>+L25/'1'!L13</f>
        <v>0.37691646245925764</v>
      </c>
      <c r="F25" s="13">
        <f>+M25/'1'!M13</f>
        <v>0.30642148433903821</v>
      </c>
      <c r="G25" s="13">
        <f>+N25/'1'!N13</f>
        <v>0.31486149296307059</v>
      </c>
      <c r="I25" s="3" t="s">
        <v>8</v>
      </c>
      <c r="J25" s="1">
        <v>90318</v>
      </c>
      <c r="K25" s="1">
        <v>92080</v>
      </c>
      <c r="L25" s="1">
        <v>110899</v>
      </c>
      <c r="M25" s="1">
        <v>103181</v>
      </c>
      <c r="N25" s="1">
        <f t="shared" si="2"/>
        <v>396478</v>
      </c>
      <c r="P25" s="1"/>
      <c r="Q25" s="1"/>
    </row>
    <row r="26" spans="2:17" x14ac:dyDescent="0.25">
      <c r="B26" s="3" t="s">
        <v>9</v>
      </c>
      <c r="C26" s="13">
        <f>+J26/'1'!J14</f>
        <v>0.35690275482348016</v>
      </c>
      <c r="D26" s="13">
        <f>+K26/'1'!K14</f>
        <v>0.34431117024825064</v>
      </c>
      <c r="E26" s="13">
        <f>+L26/'1'!L14</f>
        <v>0.3467556323011311</v>
      </c>
      <c r="F26" s="13">
        <f>+M26/'1'!M14</f>
        <v>0.357884925369162</v>
      </c>
      <c r="G26" s="13">
        <f>+N26/'1'!N14</f>
        <v>0.35146604966944561</v>
      </c>
      <c r="I26" s="3" t="s">
        <v>9</v>
      </c>
      <c r="J26" s="1">
        <v>579826</v>
      </c>
      <c r="K26" s="1">
        <v>567734</v>
      </c>
      <c r="L26" s="1">
        <v>598417</v>
      </c>
      <c r="M26" s="1">
        <v>618559</v>
      </c>
      <c r="N26" s="1">
        <f t="shared" si="2"/>
        <v>2364536</v>
      </c>
      <c r="P26" s="1"/>
      <c r="Q26" s="1"/>
    </row>
    <row r="27" spans="2:17" x14ac:dyDescent="0.25">
      <c r="B27" s="3" t="s">
        <v>10</v>
      </c>
      <c r="C27" s="13">
        <f>+J27/'1'!J15</f>
        <v>0.36861707382897085</v>
      </c>
      <c r="D27" s="13">
        <f>+K27/'1'!K15</f>
        <v>0.37113681333217258</v>
      </c>
      <c r="E27" s="13">
        <f>+L27/'1'!L15</f>
        <v>0.3737252394180956</v>
      </c>
      <c r="F27" s="13">
        <f>+M27/'1'!M15</f>
        <v>0.36853164602035193</v>
      </c>
      <c r="G27" s="13">
        <f>+N27/'1'!N15</f>
        <v>0.370481445759335</v>
      </c>
      <c r="I27" s="3" t="s">
        <v>10</v>
      </c>
      <c r="J27" s="1">
        <v>861861</v>
      </c>
      <c r="K27" s="1">
        <v>878201</v>
      </c>
      <c r="L27" s="1">
        <v>866106</v>
      </c>
      <c r="M27" s="1">
        <v>890078</v>
      </c>
      <c r="N27" s="1">
        <f t="shared" si="2"/>
        <v>3496246</v>
      </c>
      <c r="P27" s="1"/>
      <c r="Q27" s="1"/>
    </row>
    <row r="28" spans="2:17" x14ac:dyDescent="0.25">
      <c r="B28" s="3" t="s">
        <v>11</v>
      </c>
      <c r="C28" s="13">
        <f>+J28/'1'!J16</f>
        <v>0.67942057062345895</v>
      </c>
      <c r="D28" s="13">
        <f>+K28/'1'!K16</f>
        <v>0.61861041024203345</v>
      </c>
      <c r="E28" s="13">
        <f>+L28/'1'!L16</f>
        <v>0.55114585934648563</v>
      </c>
      <c r="F28" s="13">
        <f>+M28/'1'!M16</f>
        <v>0.71431907887054202</v>
      </c>
      <c r="G28" s="13">
        <f>+N28/'1'!N16</f>
        <v>0.63689637469825566</v>
      </c>
      <c r="I28" s="3" t="s">
        <v>11</v>
      </c>
      <c r="J28" s="1">
        <v>30862</v>
      </c>
      <c r="K28" s="1">
        <v>26479</v>
      </c>
      <c r="L28" s="1">
        <v>28691</v>
      </c>
      <c r="M28" s="1">
        <v>30585</v>
      </c>
      <c r="N28" s="1">
        <f t="shared" si="2"/>
        <v>116617</v>
      </c>
      <c r="P28" s="1"/>
      <c r="Q28" s="1"/>
    </row>
    <row r="29" spans="2:17" x14ac:dyDescent="0.25">
      <c r="B29" s="2" t="s">
        <v>12</v>
      </c>
      <c r="C29" s="12">
        <f>+J29/'1'!J17</f>
        <v>0.98093516845080864</v>
      </c>
      <c r="D29" s="12">
        <f>+K29/'1'!K17</f>
        <v>0.98231175156056605</v>
      </c>
      <c r="E29" s="12">
        <f>+L29/'1'!L17</f>
        <v>0.96863753916886741</v>
      </c>
      <c r="F29" s="12">
        <f>+M29/'1'!M17</f>
        <v>0.98151762521429009</v>
      </c>
      <c r="G29" s="12">
        <f>+N29/'1'!N17</f>
        <v>0.97845045705597056</v>
      </c>
      <c r="I29" s="2" t="s">
        <v>12</v>
      </c>
      <c r="J29" s="1">
        <v>846704</v>
      </c>
      <c r="K29" s="1">
        <v>803976</v>
      </c>
      <c r="L29" s="1">
        <v>778679</v>
      </c>
      <c r="M29" s="1">
        <v>826748</v>
      </c>
      <c r="N29" s="1">
        <f t="shared" si="2"/>
        <v>3256107</v>
      </c>
      <c r="O29" s="1"/>
      <c r="P29" s="1"/>
    </row>
    <row r="31" spans="2:17" x14ac:dyDescent="0.25">
      <c r="C31" s="12">
        <f>+J31/'1'!J19</f>
        <v>0.47943273386905438</v>
      </c>
      <c r="D31" s="12">
        <f>+K31/'1'!K19</f>
        <v>0.4828676191569018</v>
      </c>
      <c r="E31" s="12">
        <f>+L31/'1'!L19</f>
        <v>0.47953320223081924</v>
      </c>
      <c r="F31" s="12">
        <f>+M31/'1'!M19</f>
        <v>0.4824485076467428</v>
      </c>
      <c r="G31" s="12">
        <f>+N31/'1'!N19</f>
        <v>0.4810704762647221</v>
      </c>
      <c r="J31" s="1">
        <f>+J19+J24</f>
        <v>5520643</v>
      </c>
      <c r="K31" s="1">
        <f t="shared" ref="K31:M31" si="4">+K19+K24</f>
        <v>5483168</v>
      </c>
      <c r="L31" s="1">
        <f t="shared" si="4"/>
        <v>5619441</v>
      </c>
      <c r="M31" s="1">
        <f t="shared" si="4"/>
        <v>5764687</v>
      </c>
      <c r="N31" s="4">
        <f>SUM(J31:M31)</f>
        <v>22387939</v>
      </c>
    </row>
    <row r="32" spans="2:17" x14ac:dyDescent="0.25">
      <c r="C32" s="1"/>
    </row>
    <row r="33" spans="2:17" x14ac:dyDescent="0.25">
      <c r="B33" s="8" t="s">
        <v>26</v>
      </c>
      <c r="C33" t="s">
        <v>15</v>
      </c>
      <c r="D33" s="1" t="s">
        <v>18</v>
      </c>
      <c r="E33" t="s">
        <v>17</v>
      </c>
      <c r="F33" t="s">
        <v>16</v>
      </c>
      <c r="G33">
        <v>2023</v>
      </c>
      <c r="I33" s="8" t="s">
        <v>26</v>
      </c>
      <c r="J33" t="s">
        <v>15</v>
      </c>
      <c r="K33" s="1" t="s">
        <v>18</v>
      </c>
      <c r="L33" t="s">
        <v>17</v>
      </c>
      <c r="M33" t="s">
        <v>16</v>
      </c>
      <c r="N33">
        <v>2023</v>
      </c>
    </row>
    <row r="34" spans="2:17" x14ac:dyDescent="0.25">
      <c r="B34" s="2" t="s">
        <v>2</v>
      </c>
      <c r="C34" s="12">
        <f>+J34/'1'!J7</f>
        <v>4.541189397970858E-2</v>
      </c>
      <c r="D34" s="12">
        <f>+K34/'1'!K7</f>
        <v>4.7636693570647475E-2</v>
      </c>
      <c r="E34" s="12">
        <f>+L34/'1'!L7</f>
        <v>4.3353640258113391E-2</v>
      </c>
      <c r="F34" s="12">
        <f>+M34/'1'!M7</f>
        <v>4.9544877433645239E-2</v>
      </c>
      <c r="G34" s="12">
        <f>+N34/'1'!N7</f>
        <v>4.6488986845353492E-2</v>
      </c>
      <c r="H34" s="1"/>
      <c r="I34" s="2" t="s">
        <v>2</v>
      </c>
      <c r="J34" s="1">
        <f>SUM(J35:J38)</f>
        <v>326240</v>
      </c>
      <c r="K34" s="1">
        <f t="shared" ref="K34" si="5">SUM(K35:K38)</f>
        <v>333077</v>
      </c>
      <c r="L34" s="1">
        <f t="shared" ref="L34" si="6">SUM(L35:L38)</f>
        <v>317740</v>
      </c>
      <c r="M34" s="1">
        <f t="shared" ref="M34" si="7">SUM(M35:M38)</f>
        <v>367905</v>
      </c>
      <c r="N34" s="4">
        <f>SUM(J34:M34)</f>
        <v>1344962</v>
      </c>
      <c r="O34" s="1"/>
      <c r="P34" s="1"/>
    </row>
    <row r="35" spans="2:17" x14ac:dyDescent="0.25">
      <c r="B35" s="3" t="s">
        <v>3</v>
      </c>
      <c r="C35" s="13">
        <f>+J35/'1'!J8</f>
        <v>6.4199122711721929E-2</v>
      </c>
      <c r="D35" s="13">
        <f>+K35/'1'!K8</f>
        <v>8.3373768372577706E-2</v>
      </c>
      <c r="E35" s="13">
        <f>+L35/'1'!L8</f>
        <v>5.3075073433019974E-2</v>
      </c>
      <c r="F35" s="13">
        <f>+M35/'1'!M8</f>
        <v>7.444315755469938E-2</v>
      </c>
      <c r="G35" s="13">
        <f>+N35/'1'!N8</f>
        <v>6.8870916757877265E-2</v>
      </c>
      <c r="H35" s="1"/>
      <c r="I35" s="3" t="s">
        <v>3</v>
      </c>
      <c r="J35" s="1">
        <v>36048</v>
      </c>
      <c r="K35" s="1">
        <v>46565</v>
      </c>
      <c r="L35" s="1">
        <v>30284</v>
      </c>
      <c r="M35" s="1">
        <v>47242</v>
      </c>
      <c r="N35" s="1">
        <f t="shared" ref="N35:N44" si="8">SUM(J35:M35)</f>
        <v>160139</v>
      </c>
      <c r="O35" s="1"/>
      <c r="Q35" s="1"/>
    </row>
    <row r="36" spans="2:17" x14ac:dyDescent="0.25">
      <c r="B36" s="3" t="s">
        <v>4</v>
      </c>
      <c r="C36" s="13">
        <f>+J36/'1'!J9</f>
        <v>5.6387066972158673E-2</v>
      </c>
      <c r="D36" s="13">
        <f>+K36/'1'!K9</f>
        <v>5.9312644269044763E-2</v>
      </c>
      <c r="E36" s="13">
        <f>+L36/'1'!L9</f>
        <v>5.6939913619550454E-2</v>
      </c>
      <c r="F36" s="13">
        <f>+M36/'1'!M9</f>
        <v>6.392547519000015E-2</v>
      </c>
      <c r="G36" s="13">
        <f>+N36/'1'!N9</f>
        <v>5.9160175386344577E-2</v>
      </c>
      <c r="H36" s="1"/>
      <c r="I36" s="3" t="s">
        <v>4</v>
      </c>
      <c r="J36" s="1">
        <v>235103</v>
      </c>
      <c r="K36" s="1">
        <v>236988</v>
      </c>
      <c r="L36" s="1">
        <v>234693</v>
      </c>
      <c r="M36" s="1">
        <v>269698</v>
      </c>
      <c r="N36" s="1">
        <f t="shared" si="8"/>
        <v>976482</v>
      </c>
      <c r="O36" s="1"/>
      <c r="Q36" s="1"/>
    </row>
    <row r="37" spans="2:17" x14ac:dyDescent="0.25">
      <c r="B37" s="3" t="s">
        <v>5</v>
      </c>
      <c r="C37" s="13">
        <f>+J37/'1'!J10</f>
        <v>1.5492395951746903E-2</v>
      </c>
      <c r="D37" s="13">
        <f>+K37/'1'!K10</f>
        <v>1.950735892623157E-2</v>
      </c>
      <c r="E37" s="13">
        <f>+L37/'1'!L10</f>
        <v>1.4325166910477041E-2</v>
      </c>
      <c r="F37" s="13">
        <f>+M37/'1'!M10</f>
        <v>1.8007441037582443E-2</v>
      </c>
      <c r="G37" s="13">
        <f>+N37/'1'!N10</f>
        <v>1.6799695822817828E-2</v>
      </c>
      <c r="H37" s="1"/>
      <c r="I37" s="3" t="s">
        <v>5</v>
      </c>
      <c r="J37" s="1">
        <v>36238</v>
      </c>
      <c r="K37" s="1">
        <v>45511</v>
      </c>
      <c r="L37" s="1">
        <v>36066</v>
      </c>
      <c r="M37" s="1">
        <v>44296</v>
      </c>
      <c r="N37" s="1">
        <f t="shared" si="8"/>
        <v>162111</v>
      </c>
      <c r="O37" s="1"/>
      <c r="Q37" s="1"/>
    </row>
    <row r="38" spans="2:17" x14ac:dyDescent="0.25">
      <c r="B38" s="3" t="s">
        <v>6</v>
      </c>
      <c r="C38" s="13">
        <f>+J38/'1'!J11</f>
        <v>0.16537995894232624</v>
      </c>
      <c r="D38" s="13">
        <f>+K38/'1'!K11</f>
        <v>3.8245637443174781E-2</v>
      </c>
      <c r="E38" s="13">
        <f>+L38/'1'!L11</f>
        <v>0.14030385022603903</v>
      </c>
      <c r="F38" s="13">
        <f>+M38/'1'!M11</f>
        <v>5.9400913860213234E-2</v>
      </c>
      <c r="G38" s="13">
        <f>+N38/'1'!N11</f>
        <v>0.10268997534374376</v>
      </c>
      <c r="H38" s="1"/>
      <c r="I38" s="3" t="s">
        <v>6</v>
      </c>
      <c r="J38" s="1">
        <v>18851</v>
      </c>
      <c r="K38" s="1">
        <v>4013</v>
      </c>
      <c r="L38" s="1">
        <v>16697</v>
      </c>
      <c r="M38" s="1">
        <v>6669</v>
      </c>
      <c r="N38" s="1">
        <f t="shared" si="8"/>
        <v>46230</v>
      </c>
      <c r="O38" s="1"/>
      <c r="Q38" s="1"/>
    </row>
    <row r="39" spans="2:17" x14ac:dyDescent="0.25">
      <c r="B39" s="2" t="s">
        <v>7</v>
      </c>
      <c r="C39" s="12">
        <f>+J39/'1'!J12</f>
        <v>0.10200356644201114</v>
      </c>
      <c r="D39" s="12">
        <f>+K39/'1'!K12</f>
        <v>0.10812162347673294</v>
      </c>
      <c r="E39" s="12">
        <f>+L39/'1'!L12</f>
        <v>9.8814271570265483E-2</v>
      </c>
      <c r="F39" s="12">
        <f>+M39/'1'!M12</f>
        <v>8.5347705710282787E-2</v>
      </c>
      <c r="G39" s="12">
        <f>+N39/'1'!N12</f>
        <v>9.8445861293587594E-2</v>
      </c>
      <c r="H39" s="1"/>
      <c r="I39" s="2" t="s">
        <v>7</v>
      </c>
      <c r="J39" s="1">
        <f>SUM(J40:J44)</f>
        <v>441770</v>
      </c>
      <c r="K39" s="1">
        <f t="shared" ref="K39" si="9">SUM(K40:K44)</f>
        <v>471778</v>
      </c>
      <c r="L39" s="1">
        <f t="shared" ref="L39" si="10">SUM(L40:L44)</f>
        <v>433749</v>
      </c>
      <c r="M39" s="1">
        <f t="shared" ref="M39" si="11">SUM(M40:M44)</f>
        <v>386038</v>
      </c>
      <c r="N39" s="4">
        <f t="shared" si="8"/>
        <v>1733335</v>
      </c>
      <c r="O39" s="1"/>
      <c r="Q39" s="1"/>
    </row>
    <row r="40" spans="2:17" x14ac:dyDescent="0.25">
      <c r="B40" s="3" t="s">
        <v>8</v>
      </c>
      <c r="C40" s="13">
        <f>+J40/'1'!J13</f>
        <v>0.10715757190873747</v>
      </c>
      <c r="D40" s="13">
        <f>+K40/'1'!K13</f>
        <v>0.12141966194471818</v>
      </c>
      <c r="E40" s="13">
        <f>+L40/'1'!L13</f>
        <v>3.6291706743432794E-2</v>
      </c>
      <c r="F40" s="13">
        <f>+M40/'1'!M13</f>
        <v>4.6550787131491494E-2</v>
      </c>
      <c r="G40" s="13">
        <f>+N40/'1'!N13</f>
        <v>7.7851739259569855E-2</v>
      </c>
      <c r="H40" s="1"/>
      <c r="I40" s="3" t="s">
        <v>8</v>
      </c>
      <c r="J40" s="1">
        <v>34591</v>
      </c>
      <c r="K40" s="1">
        <v>37088</v>
      </c>
      <c r="L40" s="1">
        <v>10678</v>
      </c>
      <c r="M40" s="1">
        <v>15675</v>
      </c>
      <c r="N40" s="1">
        <f t="shared" si="8"/>
        <v>98032</v>
      </c>
      <c r="O40" s="1"/>
      <c r="Q40" s="1"/>
    </row>
    <row r="41" spans="2:17" x14ac:dyDescent="0.25">
      <c r="B41" s="3" t="s">
        <v>9</v>
      </c>
      <c r="C41" s="13">
        <f>+J41/'1'!J14</f>
        <v>6.7045220222761839E-2</v>
      </c>
      <c r="D41" s="13">
        <f>+K41/'1'!K14</f>
        <v>7.2878977353359645E-2</v>
      </c>
      <c r="E41" s="13">
        <f>+L41/'1'!L14</f>
        <v>6.5553147598739106E-2</v>
      </c>
      <c r="F41" s="13">
        <f>+M41/'1'!M14</f>
        <v>5.8936896759613368E-2</v>
      </c>
      <c r="G41" s="13">
        <f>+N41/'1'!N14</f>
        <v>6.6009209474292382E-2</v>
      </c>
      <c r="H41" s="1"/>
      <c r="I41" s="3" t="s">
        <v>9</v>
      </c>
      <c r="J41" s="1">
        <v>108922</v>
      </c>
      <c r="K41" s="1">
        <v>120170</v>
      </c>
      <c r="L41" s="1">
        <v>113129</v>
      </c>
      <c r="M41" s="1">
        <v>101865</v>
      </c>
      <c r="N41" s="1">
        <f t="shared" si="8"/>
        <v>444086</v>
      </c>
      <c r="O41" s="1"/>
      <c r="Q41" s="1"/>
    </row>
    <row r="42" spans="2:17" x14ac:dyDescent="0.25">
      <c r="B42" s="3" t="s">
        <v>10</v>
      </c>
      <c r="C42" s="13">
        <f>+J42/'1'!J15</f>
        <v>7.3865325288600583E-2</v>
      </c>
      <c r="D42" s="13">
        <f>+K42/'1'!K15</f>
        <v>8.9408286374282303E-2</v>
      </c>
      <c r="E42" s="13">
        <f>+L42/'1'!L15</f>
        <v>9.9013848579543248E-2</v>
      </c>
      <c r="F42" s="13">
        <f>+M42/'1'!M15</f>
        <v>7.9767274028124363E-2</v>
      </c>
      <c r="G42" s="13">
        <f>+N42/'1'!N15</f>
        <v>8.5448881502387303E-2</v>
      </c>
      <c r="H42" s="1"/>
      <c r="I42" s="3" t="s">
        <v>10</v>
      </c>
      <c r="J42" s="1">
        <v>172704</v>
      </c>
      <c r="K42" s="1">
        <v>211562</v>
      </c>
      <c r="L42" s="1">
        <v>229464</v>
      </c>
      <c r="M42" s="1">
        <v>192654</v>
      </c>
      <c r="N42" s="1">
        <f t="shared" si="8"/>
        <v>806384</v>
      </c>
      <c r="O42" s="1"/>
      <c r="Q42" s="1"/>
    </row>
    <row r="43" spans="2:17" x14ac:dyDescent="0.25">
      <c r="B43" s="3" t="s">
        <v>11</v>
      </c>
      <c r="C43" s="13">
        <f>+J43/'1'!J16</f>
        <v>0.1023027474462839</v>
      </c>
      <c r="D43" s="13">
        <f>+K43/'1'!K16</f>
        <v>0.13150640127090926</v>
      </c>
      <c r="E43" s="13">
        <f>+L43/'1'!L16</f>
        <v>0.17609543385135523</v>
      </c>
      <c r="F43" s="13">
        <f>+M43/'1'!M16</f>
        <v>6.8757736413106937E-2</v>
      </c>
      <c r="G43" s="13">
        <f>+N43/'1'!N16</f>
        <v>0.12226518552500792</v>
      </c>
      <c r="H43" s="1"/>
      <c r="I43" s="3" t="s">
        <v>11</v>
      </c>
      <c r="J43" s="1">
        <v>4647</v>
      </c>
      <c r="K43" s="1">
        <v>5629</v>
      </c>
      <c r="L43" s="1">
        <v>9167</v>
      </c>
      <c r="M43" s="1">
        <v>2944</v>
      </c>
      <c r="N43" s="1">
        <f t="shared" si="8"/>
        <v>22387</v>
      </c>
      <c r="O43" s="1"/>
      <c r="Q43" s="1"/>
    </row>
    <row r="44" spans="2:17" x14ac:dyDescent="0.25">
      <c r="B44" s="2" t="s">
        <v>12</v>
      </c>
      <c r="C44" s="12">
        <f>+J44/'1'!J17</f>
        <v>0.14007368274711526</v>
      </c>
      <c r="D44" s="12">
        <f>+K44/'1'!K17</f>
        <v>0.1189182518727404</v>
      </c>
      <c r="E44" s="12">
        <f>+L44/'1'!L17</f>
        <v>8.8707299870256037E-2</v>
      </c>
      <c r="F44" s="12">
        <f>+M44/'1'!M17</f>
        <v>8.6547091590329514E-2</v>
      </c>
      <c r="G44" s="12">
        <f>+N44/'1'!N17</f>
        <v>0.1089139436628183</v>
      </c>
      <c r="I44" s="2" t="s">
        <v>12</v>
      </c>
      <c r="J44" s="1">
        <v>120906</v>
      </c>
      <c r="K44" s="1">
        <v>97329</v>
      </c>
      <c r="L44" s="1">
        <v>71311</v>
      </c>
      <c r="M44" s="1">
        <v>72900</v>
      </c>
      <c r="N44" s="1">
        <f t="shared" si="8"/>
        <v>362446</v>
      </c>
      <c r="O44" s="1"/>
    </row>
    <row r="46" spans="2:17" x14ac:dyDescent="0.25">
      <c r="B46" s="6" t="s">
        <v>19</v>
      </c>
      <c r="C46" s="12">
        <f>+J46/'1'!J19</f>
        <v>6.6696784041056889E-2</v>
      </c>
      <c r="D46" s="12">
        <f>+K46/'1'!K19</f>
        <v>7.0878444289237202E-2</v>
      </c>
      <c r="E46" s="12">
        <f>+L46/'1'!L19</f>
        <v>6.4128073701856844E-2</v>
      </c>
      <c r="F46" s="12">
        <f>+M46/'1'!M19</f>
        <v>6.3097731967183684E-2</v>
      </c>
      <c r="G46" s="12">
        <f>+N46/'1'!N19</f>
        <v>6.6146231856101856E-2</v>
      </c>
      <c r="I46" s="6" t="s">
        <v>19</v>
      </c>
      <c r="J46" s="1">
        <f>+J34+J39</f>
        <v>768010</v>
      </c>
      <c r="K46" s="1">
        <f t="shared" ref="K46:M46" si="12">+K34+K39</f>
        <v>804855</v>
      </c>
      <c r="L46" s="1">
        <f t="shared" si="12"/>
        <v>751489</v>
      </c>
      <c r="M46" s="1">
        <f t="shared" si="12"/>
        <v>753943</v>
      </c>
      <c r="N46" s="4">
        <f>SUM(J46:M46)</f>
        <v>3078297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8"/>
  <sheetViews>
    <sheetView topLeftCell="A2" workbookViewId="0">
      <selection activeCell="G10" sqref="G10"/>
    </sheetView>
  </sheetViews>
  <sheetFormatPr baseColWidth="10" defaultRowHeight="15" x14ac:dyDescent="0.25"/>
  <cols>
    <col min="7" max="7" width="16" customWidth="1"/>
    <col min="9" max="9" width="12.28515625" customWidth="1"/>
    <col min="12" max="12" width="13.28515625" customWidth="1"/>
    <col min="15" max="15" width="15.140625" customWidth="1"/>
  </cols>
  <sheetData>
    <row r="2" spans="2:19" x14ac:dyDescent="0.25">
      <c r="B2" t="s">
        <v>32</v>
      </c>
    </row>
    <row r="4" spans="2:19" ht="31.5" customHeight="1" x14ac:dyDescent="0.25">
      <c r="C4" s="5" t="s">
        <v>1</v>
      </c>
      <c r="D4" s="16" t="s">
        <v>28</v>
      </c>
      <c r="E4" s="16"/>
      <c r="F4" s="16"/>
      <c r="G4" s="5" t="s">
        <v>29</v>
      </c>
      <c r="I4" s="10" t="s">
        <v>27</v>
      </c>
      <c r="J4" s="16" t="s">
        <v>28</v>
      </c>
      <c r="K4" s="16"/>
      <c r="L4" s="16"/>
      <c r="M4" s="8" t="s">
        <v>29</v>
      </c>
      <c r="O4" s="8" t="s">
        <v>33</v>
      </c>
      <c r="P4" s="16" t="s">
        <v>28</v>
      </c>
      <c r="Q4" s="16"/>
      <c r="R4" s="16"/>
      <c r="S4" s="8" t="s">
        <v>29</v>
      </c>
    </row>
    <row r="5" spans="2:19" x14ac:dyDescent="0.25">
      <c r="D5" s="8" t="s">
        <v>30</v>
      </c>
      <c r="E5" s="8" t="s">
        <v>31</v>
      </c>
      <c r="F5" s="8" t="s">
        <v>34</v>
      </c>
      <c r="I5" s="2"/>
      <c r="J5" s="8" t="s">
        <v>30</v>
      </c>
      <c r="K5" s="8" t="s">
        <v>31</v>
      </c>
      <c r="L5" s="8" t="s">
        <v>45</v>
      </c>
      <c r="O5" s="2"/>
      <c r="P5" s="8" t="s">
        <v>30</v>
      </c>
      <c r="Q5" s="8" t="s">
        <v>31</v>
      </c>
      <c r="R5" s="8" t="s">
        <v>1</v>
      </c>
    </row>
    <row r="6" spans="2:19" x14ac:dyDescent="0.25">
      <c r="B6" t="s">
        <v>15</v>
      </c>
      <c r="C6" s="1">
        <f>+F6+G6</f>
        <v>8996297</v>
      </c>
      <c r="D6" s="1">
        <v>4169449</v>
      </c>
      <c r="E6" s="1">
        <v>2339083</v>
      </c>
      <c r="F6" s="1">
        <f>+D6+E6</f>
        <v>6508532</v>
      </c>
      <c r="G6" s="1">
        <v>2487765</v>
      </c>
      <c r="I6" t="s">
        <v>15</v>
      </c>
      <c r="J6" s="1">
        <v>394907</v>
      </c>
      <c r="K6" s="1">
        <v>179894</v>
      </c>
      <c r="L6" s="1">
        <f>+J6+K6</f>
        <v>574801</v>
      </c>
      <c r="M6" s="1">
        <v>351191</v>
      </c>
      <c r="N6" s="1"/>
      <c r="O6" t="s">
        <v>15</v>
      </c>
      <c r="P6" s="1">
        <v>3130143</v>
      </c>
      <c r="Q6" s="1">
        <v>2025657</v>
      </c>
      <c r="R6" s="1">
        <f>+P6+Q6</f>
        <v>5155800</v>
      </c>
      <c r="S6" s="9">
        <v>620181</v>
      </c>
    </row>
    <row r="7" spans="2:19" x14ac:dyDescent="0.25">
      <c r="B7" t="s">
        <v>18</v>
      </c>
      <c r="C7" s="1">
        <f>+F7+G7</f>
        <v>8795941</v>
      </c>
      <c r="D7" s="1">
        <v>3995573</v>
      </c>
      <c r="E7" s="1">
        <v>2333017</v>
      </c>
      <c r="F7" s="1">
        <f>+D7+E7</f>
        <v>6328590</v>
      </c>
      <c r="G7" s="1">
        <v>2467351</v>
      </c>
      <c r="I7" t="s">
        <v>18</v>
      </c>
      <c r="J7" s="1">
        <v>329897</v>
      </c>
      <c r="K7" s="1">
        <v>219628</v>
      </c>
      <c r="L7" s="1">
        <f>+J7+K7</f>
        <v>549525</v>
      </c>
      <c r="M7" s="1">
        <v>307749</v>
      </c>
      <c r="N7" s="1"/>
      <c r="O7" t="s">
        <v>18</v>
      </c>
      <c r="P7" s="1">
        <v>3001497</v>
      </c>
      <c r="Q7" s="1">
        <v>2017886</v>
      </c>
      <c r="R7" s="1">
        <f>+P7+Q7</f>
        <v>5019383</v>
      </c>
      <c r="S7" s="1">
        <v>595004</v>
      </c>
    </row>
    <row r="8" spans="2:19" x14ac:dyDescent="0.25">
      <c r="B8" t="s">
        <v>17</v>
      </c>
      <c r="C8" s="1">
        <f>+F8+G8</f>
        <v>9169084</v>
      </c>
      <c r="D8" s="1">
        <v>4121766</v>
      </c>
      <c r="E8" s="1">
        <v>2517667</v>
      </c>
      <c r="F8" s="1">
        <f>+D8+E8</f>
        <v>6639433</v>
      </c>
      <c r="G8" s="1">
        <v>2529651</v>
      </c>
      <c r="I8" t="s">
        <v>17</v>
      </c>
      <c r="J8" s="1">
        <v>315642</v>
      </c>
      <c r="K8" s="1">
        <v>226496</v>
      </c>
      <c r="L8" s="1">
        <f>+J8+K8</f>
        <v>542138</v>
      </c>
      <c r="M8" s="1">
        <v>427300</v>
      </c>
      <c r="N8" s="1"/>
      <c r="O8" t="s">
        <v>17</v>
      </c>
      <c r="P8" s="1">
        <v>3129294</v>
      </c>
      <c r="Q8" s="1">
        <v>2227966</v>
      </c>
      <c r="R8" s="1">
        <f>+P8+Q8</f>
        <v>5357260</v>
      </c>
      <c r="S8" s="1">
        <v>608994</v>
      </c>
    </row>
    <row r="9" spans="2:19" x14ac:dyDescent="0.25">
      <c r="B9" t="s">
        <v>16</v>
      </c>
      <c r="C9" s="1">
        <v>9963644</v>
      </c>
      <c r="D9" s="1">
        <v>4218944</v>
      </c>
      <c r="E9" s="1">
        <v>2459872</v>
      </c>
      <c r="F9" s="1">
        <f>+D9+E9</f>
        <v>6678816</v>
      </c>
      <c r="G9" s="1">
        <v>2570690</v>
      </c>
      <c r="I9" t="s">
        <v>16</v>
      </c>
      <c r="J9" s="1">
        <v>306040</v>
      </c>
      <c r="K9" s="1">
        <v>251695</v>
      </c>
      <c r="L9" s="1">
        <f>+J9+K9</f>
        <v>557735</v>
      </c>
      <c r="M9" s="1">
        <v>371582</v>
      </c>
      <c r="N9" s="1"/>
      <c r="O9" s="1" t="s">
        <v>16</v>
      </c>
      <c r="P9" s="1">
        <v>3189755</v>
      </c>
      <c r="Q9" s="1">
        <v>2147555</v>
      </c>
      <c r="R9" s="1">
        <f>+P9+Q9</f>
        <v>5337310</v>
      </c>
      <c r="S9" s="1">
        <v>673333</v>
      </c>
    </row>
    <row r="10" spans="2:19" x14ac:dyDescent="0.25">
      <c r="B10" s="17">
        <v>2023</v>
      </c>
      <c r="C10" s="1">
        <f>SUM(C6:C9)</f>
        <v>36924966</v>
      </c>
      <c r="D10" s="1">
        <f t="shared" ref="D10" si="0">SUM(D6:D9)</f>
        <v>16505732</v>
      </c>
      <c r="E10" s="1">
        <f t="shared" ref="E10" si="1">SUM(E6:E9)</f>
        <v>9649639</v>
      </c>
      <c r="F10" s="1">
        <f t="shared" ref="F10:G10" si="2">SUM(F6:F9)</f>
        <v>26155371</v>
      </c>
      <c r="G10" s="1">
        <f t="shared" si="2"/>
        <v>10055457</v>
      </c>
      <c r="I10" s="17">
        <v>2023</v>
      </c>
      <c r="J10" s="1">
        <f>SUM(J6:J9)</f>
        <v>1346486</v>
      </c>
      <c r="K10" s="1">
        <f t="shared" ref="K10:M10" si="3">SUM(K6:K9)</f>
        <v>877713</v>
      </c>
      <c r="L10" s="1">
        <f t="shared" si="3"/>
        <v>2224199</v>
      </c>
      <c r="M10" s="1">
        <f t="shared" si="3"/>
        <v>1457822</v>
      </c>
      <c r="N10" s="1"/>
      <c r="O10" s="17">
        <v>2023</v>
      </c>
      <c r="P10" s="1">
        <f>SUM(P6:P9)</f>
        <v>12450689</v>
      </c>
      <c r="Q10" s="1">
        <f t="shared" ref="Q10" si="4">SUM(Q6:Q9)</f>
        <v>8419064</v>
      </c>
      <c r="R10" s="1">
        <f t="shared" ref="R10" si="5">SUM(R6:R9)</f>
        <v>20869753</v>
      </c>
      <c r="S10" s="1">
        <f t="shared" ref="S10" si="6">SUM(S6:S9)</f>
        <v>2497512</v>
      </c>
    </row>
    <row r="11" spans="2:19" x14ac:dyDescent="0.25">
      <c r="I11" s="2"/>
      <c r="M11" s="1"/>
      <c r="N11" s="1"/>
      <c r="O11" s="1"/>
    </row>
    <row r="12" spans="2:19" ht="30" x14ac:dyDescent="0.25">
      <c r="C12" s="5" t="s">
        <v>1</v>
      </c>
      <c r="D12" s="16" t="s">
        <v>28</v>
      </c>
      <c r="E12" s="16"/>
      <c r="F12" s="16"/>
      <c r="G12" s="5" t="s">
        <v>29</v>
      </c>
      <c r="I12" s="10" t="s">
        <v>27</v>
      </c>
      <c r="J12" s="16" t="s">
        <v>28</v>
      </c>
      <c r="K12" s="16"/>
      <c r="L12" s="16"/>
      <c r="M12" s="8" t="s">
        <v>29</v>
      </c>
      <c r="O12" s="8" t="s">
        <v>33</v>
      </c>
      <c r="P12" s="16" t="s">
        <v>28</v>
      </c>
      <c r="Q12" s="16"/>
      <c r="R12" s="16"/>
      <c r="S12" s="8" t="s">
        <v>29</v>
      </c>
    </row>
    <row r="13" spans="2:19" x14ac:dyDescent="0.25">
      <c r="D13" s="8" t="s">
        <v>30</v>
      </c>
      <c r="E13" s="8" t="s">
        <v>31</v>
      </c>
      <c r="F13" s="8" t="s">
        <v>34</v>
      </c>
      <c r="I13" s="2"/>
      <c r="J13" s="8" t="s">
        <v>30</v>
      </c>
      <c r="K13" s="8" t="s">
        <v>31</v>
      </c>
      <c r="L13" s="8" t="s">
        <v>45</v>
      </c>
      <c r="O13" s="2"/>
      <c r="P13" s="8" t="s">
        <v>30</v>
      </c>
      <c r="Q13" s="8" t="s">
        <v>31</v>
      </c>
      <c r="R13" s="8" t="s">
        <v>1</v>
      </c>
    </row>
    <row r="14" spans="2:19" x14ac:dyDescent="0.25">
      <c r="B14" t="s">
        <v>15</v>
      </c>
      <c r="D14" s="14">
        <f>+D6/$C6</f>
        <v>0.46346280030550346</v>
      </c>
      <c r="E14" s="14">
        <f t="shared" ref="E14:G14" si="7">+E6/$C6</f>
        <v>0.26000508876040884</v>
      </c>
      <c r="F14" s="14">
        <f t="shared" si="7"/>
        <v>0.72346788906591231</v>
      </c>
      <c r="G14" s="14">
        <f t="shared" si="7"/>
        <v>0.27653211093408764</v>
      </c>
      <c r="I14" t="s">
        <v>15</v>
      </c>
      <c r="J14" s="14">
        <f>+J6/D6</f>
        <v>9.4714433489892794E-2</v>
      </c>
      <c r="K14" s="14">
        <f t="shared" ref="K14:M15" si="8">+K6/E6</f>
        <v>7.6907916478380633E-2</v>
      </c>
      <c r="L14" s="14">
        <f t="shared" si="8"/>
        <v>8.8314999449952775E-2</v>
      </c>
      <c r="M14" s="14">
        <f t="shared" si="8"/>
        <v>0.14116727263226228</v>
      </c>
      <c r="N14" s="1"/>
      <c r="O14" t="s">
        <v>15</v>
      </c>
      <c r="P14" s="14">
        <f>+P6/D6</f>
        <v>0.75073301052489194</v>
      </c>
      <c r="Q14" s="14">
        <f t="shared" ref="Q14:S17" si="9">+Q6/E6</f>
        <v>0.86600475485478712</v>
      </c>
      <c r="R14" s="14">
        <f t="shared" si="9"/>
        <v>0.79216019833658347</v>
      </c>
      <c r="S14" s="14">
        <f t="shared" si="9"/>
        <v>0.24929243718759608</v>
      </c>
    </row>
    <row r="15" spans="2:19" x14ac:dyDescent="0.25">
      <c r="B15" t="s">
        <v>18</v>
      </c>
      <c r="D15" s="14">
        <f t="shared" ref="D15:G18" si="10">+D7/$C7</f>
        <v>0.45425191005715021</v>
      </c>
      <c r="E15" s="14">
        <f t="shared" si="10"/>
        <v>0.26523790916742168</v>
      </c>
      <c r="F15" s="14">
        <f t="shared" si="10"/>
        <v>0.71948981922457189</v>
      </c>
      <c r="G15" s="14">
        <f t="shared" si="10"/>
        <v>0.28051018077542811</v>
      </c>
      <c r="I15" t="s">
        <v>18</v>
      </c>
      <c r="J15" s="14">
        <f t="shared" ref="J15:J17" si="11">+J7/D7</f>
        <v>8.2565629510460703E-2</v>
      </c>
      <c r="K15" s="14">
        <f t="shared" si="8"/>
        <v>9.413904827954532E-2</v>
      </c>
      <c r="L15" s="14">
        <f t="shared" si="8"/>
        <v>8.683213796438069E-2</v>
      </c>
      <c r="M15" s="14">
        <f t="shared" si="8"/>
        <v>0.12472850437574548</v>
      </c>
      <c r="O15" t="s">
        <v>18</v>
      </c>
      <c r="P15" s="14">
        <f t="shared" ref="P15:P17" si="12">+P7/D7</f>
        <v>0.75120564684965085</v>
      </c>
      <c r="Q15" s="14">
        <f t="shared" si="9"/>
        <v>0.86492554490601659</v>
      </c>
      <c r="R15" s="14">
        <f t="shared" si="9"/>
        <v>0.79312816914984219</v>
      </c>
      <c r="S15" s="14">
        <f t="shared" si="9"/>
        <v>0.24115093474742749</v>
      </c>
    </row>
    <row r="16" spans="2:19" x14ac:dyDescent="0.25">
      <c r="B16" t="s">
        <v>17</v>
      </c>
      <c r="D16" s="14">
        <f t="shared" si="10"/>
        <v>0.44952865520699775</v>
      </c>
      <c r="E16" s="14">
        <f t="shared" si="10"/>
        <v>0.27458217200322299</v>
      </c>
      <c r="F16" s="14">
        <f t="shared" si="10"/>
        <v>0.7241108272102208</v>
      </c>
      <c r="G16" s="14">
        <f t="shared" si="10"/>
        <v>0.2758891727897792</v>
      </c>
      <c r="I16" t="s">
        <v>17</v>
      </c>
      <c r="J16" s="14">
        <f>+J8/D8</f>
        <v>7.6579310907023829E-2</v>
      </c>
      <c r="K16" s="14">
        <f t="shared" ref="K16:M17" si="13">+K8/E8</f>
        <v>8.9962651931331669E-2</v>
      </c>
      <c r="L16" s="14">
        <f t="shared" si="13"/>
        <v>8.1654261741928871E-2</v>
      </c>
      <c r="M16" s="14">
        <f t="shared" si="13"/>
        <v>0.16891658177353319</v>
      </c>
      <c r="O16" t="s">
        <v>17</v>
      </c>
      <c r="P16" s="14">
        <f t="shared" si="12"/>
        <v>0.75921194944108905</v>
      </c>
      <c r="Q16" s="14">
        <f t="shared" si="9"/>
        <v>0.88493275719147924</v>
      </c>
      <c r="R16" s="14">
        <f t="shared" si="9"/>
        <v>0.80688516624838291</v>
      </c>
      <c r="S16" s="14">
        <f t="shared" si="9"/>
        <v>0.24074230002478603</v>
      </c>
    </row>
    <row r="17" spans="2:19" x14ac:dyDescent="0.25">
      <c r="B17" t="s">
        <v>16</v>
      </c>
      <c r="D17" s="14">
        <f t="shared" si="10"/>
        <v>0.42343383605435925</v>
      </c>
      <c r="E17" s="14">
        <f t="shared" si="10"/>
        <v>0.24688477428539196</v>
      </c>
      <c r="F17" s="14">
        <f t="shared" si="10"/>
        <v>0.67031861033975115</v>
      </c>
      <c r="G17" s="14">
        <f t="shared" si="10"/>
        <v>0.25800701028659795</v>
      </c>
      <c r="I17" t="s">
        <v>16</v>
      </c>
      <c r="J17" s="14">
        <f t="shared" si="11"/>
        <v>7.2539479073436386E-2</v>
      </c>
      <c r="K17" s="14">
        <f t="shared" si="13"/>
        <v>0.10232036463685916</v>
      </c>
      <c r="L17" s="14">
        <f t="shared" si="13"/>
        <v>8.3508064902521648E-2</v>
      </c>
      <c r="M17" s="14">
        <f t="shared" si="13"/>
        <v>0.14454562782754823</v>
      </c>
      <c r="O17" t="s">
        <v>16</v>
      </c>
      <c r="P17" s="14">
        <f t="shared" si="12"/>
        <v>0.7560553067307838</v>
      </c>
      <c r="Q17" s="14">
        <f t="shared" si="9"/>
        <v>0.87303526362347306</v>
      </c>
      <c r="R17" s="14">
        <f t="shared" si="9"/>
        <v>0.79914014699611424</v>
      </c>
      <c r="S17" s="14">
        <f t="shared" si="9"/>
        <v>0.26192695346385603</v>
      </c>
    </row>
    <row r="18" spans="2:19" x14ac:dyDescent="0.25">
      <c r="B18" s="17">
        <v>2023</v>
      </c>
      <c r="D18" s="14">
        <f t="shared" si="10"/>
        <v>0.44700737165201454</v>
      </c>
      <c r="E18" s="14">
        <f t="shared" si="10"/>
        <v>0.26133101923506175</v>
      </c>
      <c r="F18" s="14">
        <f t="shared" si="10"/>
        <v>0.70833839088707629</v>
      </c>
      <c r="G18" s="14">
        <f t="shared" si="10"/>
        <v>0.2723213611083623</v>
      </c>
      <c r="I18" s="17">
        <v>2023</v>
      </c>
      <c r="J18" s="14">
        <f t="shared" ref="J18" si="14">+J10/D10</f>
        <v>8.1576872810003212E-2</v>
      </c>
      <c r="K18" s="14">
        <f t="shared" ref="K18" si="15">+K10/E10</f>
        <v>9.0958117707823055E-2</v>
      </c>
      <c r="L18" s="14">
        <f t="shared" ref="L18" si="16">+L10/F10</f>
        <v>8.5037944978872598E-2</v>
      </c>
      <c r="M18" s="14">
        <f t="shared" ref="M18" si="17">+M10/G10</f>
        <v>0.14497819442716528</v>
      </c>
      <c r="O18" s="17">
        <v>2023</v>
      </c>
      <c r="P18" s="14">
        <f t="shared" ref="P18" si="18">+P10/D10</f>
        <v>0.7543251641308607</v>
      </c>
      <c r="Q18" s="14">
        <f t="shared" ref="Q18" si="19">+Q10/E10</f>
        <v>0.87247450396849047</v>
      </c>
      <c r="R18" s="14">
        <f t="shared" ref="R18" si="20">+R10/F10</f>
        <v>0.7979146233482981</v>
      </c>
      <c r="S18" s="14">
        <f t="shared" ref="S18" si="21">+S10/G10</f>
        <v>0.24837379345364413</v>
      </c>
    </row>
  </sheetData>
  <mergeCells count="6">
    <mergeCell ref="D12:F12"/>
    <mergeCell ref="J12:L12"/>
    <mergeCell ref="P12:R12"/>
    <mergeCell ref="J4:L4"/>
    <mergeCell ref="P4:R4"/>
    <mergeCell ref="D4: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R61"/>
  <sheetViews>
    <sheetView topLeftCell="C45" workbookViewId="0">
      <selection activeCell="G49" sqref="G49:G61"/>
    </sheetView>
  </sheetViews>
  <sheetFormatPr baseColWidth="10" defaultRowHeight="15" x14ac:dyDescent="0.25"/>
  <cols>
    <col min="2" max="2" width="27.42578125" customWidth="1"/>
    <col min="9" max="9" width="27.42578125" customWidth="1"/>
  </cols>
  <sheetData>
    <row r="3" spans="2:18" x14ac:dyDescent="0.25">
      <c r="B3" s="8" t="s">
        <v>35</v>
      </c>
      <c r="C3" t="s">
        <v>15</v>
      </c>
      <c r="D3" t="s">
        <v>18</v>
      </c>
      <c r="E3" t="s">
        <v>17</v>
      </c>
      <c r="F3" t="s">
        <v>16</v>
      </c>
      <c r="G3">
        <v>2023</v>
      </c>
      <c r="I3" s="8" t="s">
        <v>35</v>
      </c>
      <c r="J3" t="s">
        <v>15</v>
      </c>
      <c r="K3" t="s">
        <v>18</v>
      </c>
      <c r="L3" t="s">
        <v>17</v>
      </c>
      <c r="M3" t="s">
        <v>16</v>
      </c>
      <c r="N3">
        <v>2023</v>
      </c>
      <c r="O3" s="1"/>
      <c r="Q3" s="1"/>
    </row>
    <row r="4" spans="2:18" x14ac:dyDescent="0.25">
      <c r="B4" s="2" t="s">
        <v>2</v>
      </c>
      <c r="C4" s="12">
        <f>+J4/'1'!J7</f>
        <v>0.27329193497624799</v>
      </c>
      <c r="D4" s="12">
        <f>+K4/'1'!K7</f>
        <v>0.34323728201239528</v>
      </c>
      <c r="E4" s="12">
        <f>+L4/'1'!L7</f>
        <v>0.30287758525108449</v>
      </c>
      <c r="F4" s="12">
        <f>+M4/'1'!M7</f>
        <v>0.3305515499430895</v>
      </c>
      <c r="G4" s="12">
        <f>+N4/'1'!N7</f>
        <v>0.31238823749084277</v>
      </c>
      <c r="I4" s="2" t="s">
        <v>2</v>
      </c>
      <c r="J4" s="1">
        <f>SUM(J5:J8)</f>
        <v>1963335</v>
      </c>
      <c r="K4" s="1">
        <f t="shared" ref="K4:M4" si="0">SUM(K5:K8)</f>
        <v>2399924</v>
      </c>
      <c r="L4" s="1">
        <f t="shared" si="0"/>
        <v>2219798</v>
      </c>
      <c r="M4" s="1">
        <f t="shared" si="0"/>
        <v>2454574</v>
      </c>
      <c r="N4" s="1">
        <f>SUM(J4:M4)</f>
        <v>9037631</v>
      </c>
      <c r="O4" s="1"/>
      <c r="Q4" s="1"/>
    </row>
    <row r="5" spans="2:18" x14ac:dyDescent="0.25">
      <c r="B5" s="3" t="s">
        <v>3</v>
      </c>
      <c r="C5" s="13">
        <f>+J5/'1'!J8</f>
        <v>0.44536360446872059</v>
      </c>
      <c r="D5" s="13">
        <f>+K5/'1'!K8</f>
        <v>0.44112986540950994</v>
      </c>
      <c r="E5" s="13">
        <f>+L5/'1'!L8</f>
        <v>0.4790426717701739</v>
      </c>
      <c r="F5" s="13">
        <f>+M5/'1'!M8</f>
        <v>0.39224872164574814</v>
      </c>
      <c r="G5" s="13">
        <f>+N5/'1'!N8</f>
        <v>0.4381149188996239</v>
      </c>
      <c r="I5" s="3" t="s">
        <v>3</v>
      </c>
      <c r="J5" s="1">
        <v>250073</v>
      </c>
      <c r="K5" s="1">
        <v>246375</v>
      </c>
      <c r="L5" s="1">
        <v>273336</v>
      </c>
      <c r="M5" s="1">
        <v>248923</v>
      </c>
      <c r="N5" s="1">
        <f t="shared" ref="N5:N14" si="1">SUM(J5:M5)</f>
        <v>1018707</v>
      </c>
      <c r="O5" s="1"/>
      <c r="Q5" s="1"/>
    </row>
    <row r="6" spans="2:18" x14ac:dyDescent="0.25">
      <c r="B6" s="3" t="s">
        <v>4</v>
      </c>
      <c r="C6" s="13">
        <f>+J6/'1'!J9</f>
        <v>0.19499722865059627</v>
      </c>
      <c r="D6" s="13">
        <f>+K6/'1'!K9</f>
        <v>0.25495642302117871</v>
      </c>
      <c r="E6" s="13">
        <f>+L6/'1'!L9</f>
        <v>0.20176764037550896</v>
      </c>
      <c r="F6" s="13">
        <f>+M6/'1'!M9</f>
        <v>0.22252321908041445</v>
      </c>
      <c r="G6" s="13">
        <f>+N6/'1'!N9</f>
        <v>0.21823812479204194</v>
      </c>
      <c r="I6" s="3" t="s">
        <v>4</v>
      </c>
      <c r="J6" s="1">
        <v>813031</v>
      </c>
      <c r="K6" s="1">
        <v>1018697</v>
      </c>
      <c r="L6" s="1">
        <v>831639</v>
      </c>
      <c r="M6" s="1">
        <v>938813</v>
      </c>
      <c r="N6" s="1">
        <f t="shared" si="1"/>
        <v>3602180</v>
      </c>
      <c r="O6" s="1"/>
      <c r="Q6" s="1"/>
    </row>
    <row r="7" spans="2:18" x14ac:dyDescent="0.25">
      <c r="B7" s="3" t="s">
        <v>5</v>
      </c>
      <c r="C7" s="13">
        <f>+J7/'1'!J10</f>
        <v>0.37578572457668241</v>
      </c>
      <c r="D7" s="13">
        <f>+K7/'1'!K10</f>
        <v>0.47797294233175325</v>
      </c>
      <c r="E7" s="13">
        <f>+L7/'1'!L10</f>
        <v>0.433857217813158</v>
      </c>
      <c r="F7" s="13">
        <f>+M7/'1'!M10</f>
        <v>0.50511977859010548</v>
      </c>
      <c r="G7" s="13">
        <f>+N7/'1'!N10</f>
        <v>0.44861274084968361</v>
      </c>
      <c r="I7" s="3" t="s">
        <v>5</v>
      </c>
      <c r="J7" s="1">
        <v>878994</v>
      </c>
      <c r="K7" s="1">
        <v>1115119</v>
      </c>
      <c r="L7" s="1">
        <v>1092308</v>
      </c>
      <c r="M7" s="1">
        <v>1242530</v>
      </c>
      <c r="N7" s="1">
        <f t="shared" si="1"/>
        <v>4328951</v>
      </c>
      <c r="O7" s="1"/>
      <c r="Q7" s="1"/>
    </row>
    <row r="8" spans="2:18" x14ac:dyDescent="0.25">
      <c r="B8" s="3" t="s">
        <v>6</v>
      </c>
      <c r="C8" s="13">
        <f>+J8/'1'!J11</f>
        <v>0.1863123541487551</v>
      </c>
      <c r="D8" s="13">
        <f>+K8/'1'!K11</f>
        <v>0.18806408264793617</v>
      </c>
      <c r="E8" s="13">
        <f>+L8/'1'!L11</f>
        <v>0.18919214157269382</v>
      </c>
      <c r="F8" s="13">
        <f>+M8/'1'!M11</f>
        <v>0.21651183297556806</v>
      </c>
      <c r="G8" s="13">
        <f>+N8/'1'!N11</f>
        <v>0.19501321664186233</v>
      </c>
      <c r="I8" s="3" t="s">
        <v>6</v>
      </c>
      <c r="J8" s="1">
        <v>21237</v>
      </c>
      <c r="K8" s="1">
        <v>19733</v>
      </c>
      <c r="L8" s="1">
        <v>22515</v>
      </c>
      <c r="M8" s="1">
        <v>24308</v>
      </c>
      <c r="N8" s="1">
        <f t="shared" si="1"/>
        <v>87793</v>
      </c>
      <c r="O8" s="1"/>
      <c r="Q8" s="1"/>
    </row>
    <row r="9" spans="2:18" x14ac:dyDescent="0.25">
      <c r="B9" s="2" t="s">
        <v>7</v>
      </c>
      <c r="C9" s="12">
        <f>+J9/'1'!J12</f>
        <v>0.52163058855529076</v>
      </c>
      <c r="D9" s="12">
        <f>+K9/'1'!K12</f>
        <v>0.55727516219572759</v>
      </c>
      <c r="E9" s="12">
        <f>+L9/'1'!L12</f>
        <v>0.55519305220731663</v>
      </c>
      <c r="F9" s="12">
        <f>+M9/'1'!M12</f>
        <v>0.54074432233849146</v>
      </c>
      <c r="G9" s="12">
        <f>+N9/'1'!N12</f>
        <v>0.54374164074750553</v>
      </c>
      <c r="I9" s="2" t="s">
        <v>7</v>
      </c>
      <c r="J9" s="1">
        <f>SUM(J10:J14)</f>
        <v>2259144</v>
      </c>
      <c r="K9" s="1">
        <f t="shared" ref="K9" si="2">SUM(K10:K14)</f>
        <v>2431615</v>
      </c>
      <c r="L9" s="1">
        <f t="shared" ref="L9" si="3">SUM(L10:L14)</f>
        <v>2437041</v>
      </c>
      <c r="M9" s="1">
        <f t="shared" ref="M9" si="4">SUM(M10:M14)</f>
        <v>2445852</v>
      </c>
      <c r="N9" s="1">
        <f t="shared" si="1"/>
        <v>9573652</v>
      </c>
      <c r="O9" s="1"/>
      <c r="Q9" s="1"/>
    </row>
    <row r="10" spans="2:18" x14ac:dyDescent="0.25">
      <c r="B10" s="3" t="s">
        <v>8</v>
      </c>
      <c r="C10" s="13">
        <f>+J10/'1'!J13</f>
        <v>0.23693870912780163</v>
      </c>
      <c r="D10" s="13">
        <f>+K10/'1'!K13</f>
        <v>0.26409955050367817</v>
      </c>
      <c r="E10" s="13">
        <f>+L10/'1'!L13</f>
        <v>0.26446247285259339</v>
      </c>
      <c r="F10" s="13">
        <f>+M10/'1'!M13</f>
        <v>0.23197289214769146</v>
      </c>
      <c r="G10" s="13">
        <f>+N10/'1'!N13</f>
        <v>0.24863049489602243</v>
      </c>
      <c r="I10" s="3" t="s">
        <v>8</v>
      </c>
      <c r="J10" s="1">
        <v>76485</v>
      </c>
      <c r="K10" s="1">
        <v>80670</v>
      </c>
      <c r="L10" s="1">
        <v>77812</v>
      </c>
      <c r="M10" s="1">
        <v>78112</v>
      </c>
      <c r="N10" s="1">
        <f t="shared" si="1"/>
        <v>313079</v>
      </c>
      <c r="O10" s="1"/>
      <c r="Q10" s="1"/>
    </row>
    <row r="11" spans="2:18" x14ac:dyDescent="0.25">
      <c r="B11" s="3" t="s">
        <v>9</v>
      </c>
      <c r="C11" s="13">
        <f>+J11/'1'!J14</f>
        <v>0.3260700293302064</v>
      </c>
      <c r="D11" s="13">
        <f>+K11/'1'!K14</f>
        <v>0.36301457094374545</v>
      </c>
      <c r="E11" s="13">
        <f>+L11/'1'!L14</f>
        <v>0.37928448915260521</v>
      </c>
      <c r="F11" s="13">
        <f>+M11/'1'!M14</f>
        <v>0.35942567985864171</v>
      </c>
      <c r="G11" s="13">
        <f>+N11/'1'!N14</f>
        <v>0.35734463675730421</v>
      </c>
      <c r="I11" s="3" t="s">
        <v>9</v>
      </c>
      <c r="J11" s="1">
        <v>529735</v>
      </c>
      <c r="K11" s="1">
        <v>598574</v>
      </c>
      <c r="L11" s="1">
        <v>654554</v>
      </c>
      <c r="M11" s="1">
        <v>621222</v>
      </c>
      <c r="N11" s="1">
        <f t="shared" si="1"/>
        <v>2404085</v>
      </c>
      <c r="P11" s="1"/>
      <c r="R11" s="1"/>
    </row>
    <row r="12" spans="2:18" x14ac:dyDescent="0.25">
      <c r="B12" s="3" t="s">
        <v>10</v>
      </c>
      <c r="C12" s="13">
        <f>+J12/'1'!J15</f>
        <v>0.41790596011364817</v>
      </c>
      <c r="D12" s="13">
        <f>+K12/'1'!K15</f>
        <v>0.44399990533528638</v>
      </c>
      <c r="E12" s="13">
        <f>+L12/'1'!L15</f>
        <v>0.45750884360434158</v>
      </c>
      <c r="F12" s="13">
        <f>+M12/'1'!M15</f>
        <v>0.44591899390568324</v>
      </c>
      <c r="G12" s="13">
        <f>+N12/'1'!N15</f>
        <v>0.44134354077774862</v>
      </c>
      <c r="I12" s="3" t="s">
        <v>10</v>
      </c>
      <c r="J12" s="1">
        <v>977103</v>
      </c>
      <c r="K12" s="1">
        <v>1050613</v>
      </c>
      <c r="L12" s="1">
        <v>1060274</v>
      </c>
      <c r="M12" s="1">
        <v>1076984</v>
      </c>
      <c r="N12" s="1">
        <f t="shared" si="1"/>
        <v>4164974</v>
      </c>
      <c r="P12" s="1"/>
      <c r="R12" s="1"/>
    </row>
    <row r="13" spans="2:18" x14ac:dyDescent="0.25">
      <c r="B13" s="3" t="s">
        <v>11</v>
      </c>
      <c r="C13" s="13">
        <f>+J13/'1'!J16</f>
        <v>0.64811553363860519</v>
      </c>
      <c r="D13" s="13">
        <f>+K13/'1'!K16</f>
        <v>0.79485562097000284</v>
      </c>
      <c r="E13" s="13">
        <f>+L13/'1'!L16</f>
        <v>0.71717540388420387</v>
      </c>
      <c r="F13" s="13">
        <f>+M13/'1'!M16</f>
        <v>0.66950043207137355</v>
      </c>
      <c r="G13" s="13">
        <f>+N13/'1'!N16</f>
        <v>0.70705399176415329</v>
      </c>
      <c r="I13" s="3" t="s">
        <v>11</v>
      </c>
      <c r="J13" s="1">
        <v>29440</v>
      </c>
      <c r="K13" s="1">
        <v>34023</v>
      </c>
      <c r="L13" s="1">
        <v>37334</v>
      </c>
      <c r="M13" s="1">
        <v>28666</v>
      </c>
      <c r="N13" s="1">
        <f t="shared" si="1"/>
        <v>129463</v>
      </c>
      <c r="P13" s="1"/>
      <c r="R13" s="1"/>
    </row>
    <row r="14" spans="2:18" x14ac:dyDescent="0.25">
      <c r="B14" s="2" t="s">
        <v>12</v>
      </c>
      <c r="C14" s="12">
        <f>+J14/'1'!J17</f>
        <v>0.74885421011168263</v>
      </c>
      <c r="D14" s="12">
        <f>+K14/'1'!K17</f>
        <v>0.81585014655698007</v>
      </c>
      <c r="E14" s="12">
        <f>+L14/'1'!L17</f>
        <v>0.75516083648156285</v>
      </c>
      <c r="F14" s="12">
        <f>+M14/'1'!M17</f>
        <v>0.76084034970248693</v>
      </c>
      <c r="G14" s="12">
        <f>+N14/'1'!N17</f>
        <v>0.76988869590302356</v>
      </c>
      <c r="I14" s="2" t="s">
        <v>12</v>
      </c>
      <c r="J14" s="1">
        <v>646381</v>
      </c>
      <c r="K14" s="1">
        <v>667735</v>
      </c>
      <c r="L14" s="1">
        <v>607067</v>
      </c>
      <c r="M14" s="1">
        <v>640868</v>
      </c>
      <c r="N14" s="1">
        <f t="shared" si="1"/>
        <v>2562051</v>
      </c>
      <c r="P14" s="1"/>
      <c r="R14" s="1"/>
    </row>
    <row r="15" spans="2:18" x14ac:dyDescent="0.25">
      <c r="P15" s="1"/>
      <c r="R15" s="1"/>
    </row>
    <row r="16" spans="2:18" x14ac:dyDescent="0.25">
      <c r="B16" s="6" t="s">
        <v>19</v>
      </c>
      <c r="C16" s="12">
        <f>+J16/'1'!J19</f>
        <v>0.36669544664899922</v>
      </c>
      <c r="D16" s="12">
        <f>+K16/'1'!K19</f>
        <v>0.42548281099424973</v>
      </c>
      <c r="E16" s="12">
        <f>+L16/'1'!L19</f>
        <v>0.39738986812805149</v>
      </c>
      <c r="F16" s="12">
        <f>+M16/'1'!M19</f>
        <v>0.41011822680629451</v>
      </c>
      <c r="G16" s="12">
        <f>+N16/'1'!N19</f>
        <v>0.39991795478393638</v>
      </c>
      <c r="I16" s="6" t="s">
        <v>19</v>
      </c>
      <c r="J16" s="1">
        <f>+J4+J9</f>
        <v>4222479</v>
      </c>
      <c r="K16" s="1">
        <f t="shared" ref="K16:M16" si="5">+K4+K9</f>
        <v>4831539</v>
      </c>
      <c r="L16" s="1">
        <f t="shared" si="5"/>
        <v>4656839</v>
      </c>
      <c r="M16" s="1">
        <f t="shared" si="5"/>
        <v>4900426</v>
      </c>
      <c r="N16" s="1">
        <f>SUM(J16:M16)</f>
        <v>18611283</v>
      </c>
      <c r="P16" s="1"/>
      <c r="R16" s="1"/>
    </row>
    <row r="17" spans="2:18" x14ac:dyDescent="0.25">
      <c r="P17" s="1"/>
      <c r="R17" s="1"/>
    </row>
    <row r="18" spans="2:18" x14ac:dyDescent="0.25">
      <c r="B18" s="8" t="s">
        <v>38</v>
      </c>
      <c r="C18" t="s">
        <v>15</v>
      </c>
      <c r="D18" t="s">
        <v>18</v>
      </c>
      <c r="E18" t="s">
        <v>17</v>
      </c>
      <c r="F18" t="s">
        <v>16</v>
      </c>
      <c r="G18">
        <v>2023</v>
      </c>
      <c r="I18" s="8" t="s">
        <v>38</v>
      </c>
      <c r="J18" t="s">
        <v>15</v>
      </c>
      <c r="K18" t="s">
        <v>18</v>
      </c>
      <c r="L18" t="s">
        <v>17</v>
      </c>
      <c r="M18" t="s">
        <v>16</v>
      </c>
      <c r="N18">
        <v>2023</v>
      </c>
      <c r="P18" s="1"/>
      <c r="R18" s="1"/>
    </row>
    <row r="19" spans="2:18" x14ac:dyDescent="0.25">
      <c r="B19" s="2" t="s">
        <v>2</v>
      </c>
      <c r="C19" s="12">
        <f>+J19/'1'!J7</f>
        <v>0.23152855483022669</v>
      </c>
      <c r="D19" s="12">
        <f>+K19/'1'!K7</f>
        <v>0.22381610137033242</v>
      </c>
      <c r="E19" s="12">
        <f>+L19/'1'!L7</f>
        <v>0.2363746238074986</v>
      </c>
      <c r="F19" s="12">
        <f>+M19/'1'!M7</f>
        <v>0.25418412182999239</v>
      </c>
      <c r="G19" s="12">
        <f>+N19/'1'!N7</f>
        <v>0.23670728248260001</v>
      </c>
      <c r="I19" s="2" t="s">
        <v>2</v>
      </c>
      <c r="J19" s="1">
        <f>SUM(J20:J23)</f>
        <v>1663306</v>
      </c>
      <c r="K19" s="1">
        <f t="shared" ref="K19:M19" si="6">SUM(K20:K23)</f>
        <v>1564928</v>
      </c>
      <c r="L19" s="1">
        <f t="shared" si="6"/>
        <v>1732396</v>
      </c>
      <c r="M19" s="1">
        <f t="shared" si="6"/>
        <v>1887493</v>
      </c>
      <c r="N19" s="1">
        <f>SUM(J19:M19)</f>
        <v>6848123</v>
      </c>
      <c r="P19" s="1"/>
      <c r="R19" s="1"/>
    </row>
    <row r="20" spans="2:18" x14ac:dyDescent="0.25">
      <c r="B20" s="3" t="s">
        <v>3</v>
      </c>
      <c r="C20" s="13">
        <f>+J20/'1'!J8</f>
        <v>0.19798647558428004</v>
      </c>
      <c r="D20" s="13">
        <f>+K20/'1'!K8</f>
        <v>0.21502428788076827</v>
      </c>
      <c r="E20" s="13">
        <f>+L20/'1'!L8</f>
        <v>0.21284709808127755</v>
      </c>
      <c r="F20" s="13">
        <f>+M20/'1'!M8</f>
        <v>0.28269238345112313</v>
      </c>
      <c r="G20" s="13">
        <f>+N20/'1'!N8</f>
        <v>0.22884390838657237</v>
      </c>
      <c r="I20" s="3" t="s">
        <v>3</v>
      </c>
      <c r="J20" s="1">
        <v>111170</v>
      </c>
      <c r="K20" s="1">
        <v>120093</v>
      </c>
      <c r="L20" s="1">
        <v>121448</v>
      </c>
      <c r="M20" s="1">
        <v>179398</v>
      </c>
      <c r="N20" s="1">
        <f t="shared" ref="N20:N29" si="7">SUM(J20:M20)</f>
        <v>532109</v>
      </c>
      <c r="P20" s="1"/>
      <c r="R20" s="1"/>
    </row>
    <row r="21" spans="2:18" x14ac:dyDescent="0.25">
      <c r="B21" s="3" t="s">
        <v>4</v>
      </c>
      <c r="C21" s="13">
        <f>+J21/'1'!J9</f>
        <v>0.29257534988436124</v>
      </c>
      <c r="D21" s="13">
        <f>+K21/'1'!K9</f>
        <v>0.27183785654773418</v>
      </c>
      <c r="E21" s="13">
        <f>+L21/'1'!L9</f>
        <v>0.2968203435129505</v>
      </c>
      <c r="F21" s="13">
        <f>+M21/'1'!M9</f>
        <v>0.31160996685426495</v>
      </c>
      <c r="G21" s="13">
        <f>+N21/'1'!N9</f>
        <v>0.29348077383056986</v>
      </c>
      <c r="I21" s="3" t="s">
        <v>4</v>
      </c>
      <c r="J21" s="1">
        <v>1219878</v>
      </c>
      <c r="K21" s="1">
        <v>1086148</v>
      </c>
      <c r="L21" s="1">
        <v>1223424</v>
      </c>
      <c r="M21" s="1">
        <v>1314665</v>
      </c>
      <c r="N21" s="1">
        <f t="shared" si="7"/>
        <v>4844115</v>
      </c>
    </row>
    <row r="22" spans="2:18" x14ac:dyDescent="0.25">
      <c r="B22" s="3" t="s">
        <v>5</v>
      </c>
      <c r="C22" s="13">
        <f>+J22/'1'!J10</f>
        <v>0.12158995640599329</v>
      </c>
      <c r="D22" s="13">
        <f>+K22/'1'!K10</f>
        <v>0.12883103723633391</v>
      </c>
      <c r="E22" s="13">
        <f>+L22/'1'!L10</f>
        <v>0.13236738615551619</v>
      </c>
      <c r="F22" s="13">
        <f>+M22/'1'!M10</f>
        <v>0.13391713064744831</v>
      </c>
      <c r="G22" s="13">
        <f>+N22/'1'!N10</f>
        <v>0.12929499227898578</v>
      </c>
      <c r="I22" s="3" t="s">
        <v>5</v>
      </c>
      <c r="J22" s="1">
        <v>284409</v>
      </c>
      <c r="K22" s="1">
        <v>300565</v>
      </c>
      <c r="L22" s="1">
        <v>333257</v>
      </c>
      <c r="M22" s="1">
        <v>329419</v>
      </c>
      <c r="N22" s="1">
        <f t="shared" si="7"/>
        <v>1247650</v>
      </c>
    </row>
    <row r="23" spans="2:18" x14ac:dyDescent="0.25">
      <c r="B23" s="3" t="s">
        <v>6</v>
      </c>
      <c r="C23" s="13">
        <f>+J23/'1'!J11</f>
        <v>0.41977962205884933</v>
      </c>
      <c r="D23" s="13">
        <f>+K23/'1'!K11</f>
        <v>0.55392796896890217</v>
      </c>
      <c r="E23" s="13">
        <f>+L23/'1'!L11</f>
        <v>0.45600221837554411</v>
      </c>
      <c r="F23" s="13">
        <f>+M23/'1'!M11</f>
        <v>0.57014723303435433</v>
      </c>
      <c r="G23" s="13">
        <f>+N23/'1'!N11</f>
        <v>0.49812079344276861</v>
      </c>
      <c r="I23" s="3" t="s">
        <v>6</v>
      </c>
      <c r="J23" s="1">
        <v>47849</v>
      </c>
      <c r="K23" s="1">
        <v>58122</v>
      </c>
      <c r="L23" s="1">
        <v>54267</v>
      </c>
      <c r="M23" s="1">
        <v>64011</v>
      </c>
      <c r="N23" s="1">
        <f t="shared" si="7"/>
        <v>224249</v>
      </c>
    </row>
    <row r="24" spans="2:18" x14ac:dyDescent="0.25">
      <c r="B24" s="2" t="s">
        <v>7</v>
      </c>
      <c r="C24" s="12">
        <f>+J24/'1'!J12</f>
        <v>0.31580952530485967</v>
      </c>
      <c r="D24" s="12">
        <f>+K24/'1'!K12</f>
        <v>0.32053116364963935</v>
      </c>
      <c r="E24" s="12">
        <f>+L24/'1'!L12</f>
        <v>0.322515034611843</v>
      </c>
      <c r="F24" s="12">
        <f>+M24/'1'!M12</f>
        <v>0.32900357960797422</v>
      </c>
      <c r="G24" s="12">
        <f>+N24/'1'!N12</f>
        <v>0.32204084662526306</v>
      </c>
      <c r="I24" s="2" t="s">
        <v>7</v>
      </c>
      <c r="J24" s="1">
        <f>SUM(J25:J29)</f>
        <v>1367748</v>
      </c>
      <c r="K24" s="1">
        <f t="shared" ref="K24:M24" si="8">SUM(K25:K29)</f>
        <v>1398606</v>
      </c>
      <c r="L24" s="1">
        <f t="shared" si="8"/>
        <v>1415692</v>
      </c>
      <c r="M24" s="1">
        <f t="shared" si="8"/>
        <v>1488123</v>
      </c>
      <c r="N24" s="1">
        <f t="shared" si="7"/>
        <v>5670169</v>
      </c>
    </row>
    <row r="25" spans="2:18" x14ac:dyDescent="0.25">
      <c r="B25" s="3" t="s">
        <v>8</v>
      </c>
      <c r="C25" s="13">
        <f>+J25/'1'!J13</f>
        <v>0.3873112250429826</v>
      </c>
      <c r="D25" s="13">
        <f>+K25/'1'!K13</f>
        <v>0.43847334941873217</v>
      </c>
      <c r="E25" s="13">
        <f>+L25/'1'!L13</f>
        <v>0.43003191413432484</v>
      </c>
      <c r="F25" s="13">
        <f>+M25/'1'!M13</f>
        <v>0.3968087096745454</v>
      </c>
      <c r="G25" s="13">
        <f>+N25/'1'!N13</f>
        <v>0.41224366946364954</v>
      </c>
      <c r="I25" s="3" t="s">
        <v>8</v>
      </c>
      <c r="J25" s="1">
        <v>125026</v>
      </c>
      <c r="K25" s="1">
        <v>133933</v>
      </c>
      <c r="L25" s="1">
        <v>126527</v>
      </c>
      <c r="M25" s="1">
        <v>133617</v>
      </c>
      <c r="N25" s="1">
        <f t="shared" si="7"/>
        <v>519103</v>
      </c>
    </row>
    <row r="26" spans="2:18" x14ac:dyDescent="0.25">
      <c r="B26" s="3" t="s">
        <v>9</v>
      </c>
      <c r="C26" s="13">
        <f>+J26/'1'!J14</f>
        <v>0.28853659812692933</v>
      </c>
      <c r="D26" s="13">
        <f>+K26/'1'!K14</f>
        <v>0.2854567110882541</v>
      </c>
      <c r="E26" s="13">
        <f>+L26/'1'!L14</f>
        <v>0.29875938716855183</v>
      </c>
      <c r="F26" s="13">
        <f>+M26/'1'!M14</f>
        <v>0.28867305340163646</v>
      </c>
      <c r="G26" s="13">
        <f>+N26/'1'!N14</f>
        <v>0.29043912446524683</v>
      </c>
      <c r="I26" s="3" t="s">
        <v>9</v>
      </c>
      <c r="J26" s="1">
        <v>468758</v>
      </c>
      <c r="K26" s="1">
        <v>470689</v>
      </c>
      <c r="L26" s="1">
        <v>515587</v>
      </c>
      <c r="M26" s="1">
        <v>498935</v>
      </c>
      <c r="N26" s="1">
        <f t="shared" si="7"/>
        <v>1953969</v>
      </c>
    </row>
    <row r="27" spans="2:18" x14ac:dyDescent="0.25">
      <c r="B27" s="3" t="s">
        <v>10</v>
      </c>
      <c r="C27" s="13">
        <f>+J27/'1'!J15</f>
        <v>0.30269796795935833</v>
      </c>
      <c r="D27" s="13">
        <f>+K27/'1'!K15</f>
        <v>0.31094146593380401</v>
      </c>
      <c r="E27" s="13">
        <f>+L27/'1'!L15</f>
        <v>0.30354814295096338</v>
      </c>
      <c r="F27" s="13">
        <f>+M27/'1'!M15</f>
        <v>0.31659104149095663</v>
      </c>
      <c r="G27" s="13">
        <f>+N27/'1'!N15</f>
        <v>0.30852935360834771</v>
      </c>
      <c r="I27" s="3" t="s">
        <v>10</v>
      </c>
      <c r="J27" s="1">
        <v>707736</v>
      </c>
      <c r="K27" s="1">
        <v>735764</v>
      </c>
      <c r="L27" s="1">
        <v>703471</v>
      </c>
      <c r="M27" s="1">
        <v>764631</v>
      </c>
      <c r="N27" s="1">
        <f t="shared" si="7"/>
        <v>2911602</v>
      </c>
    </row>
    <row r="28" spans="2:18" x14ac:dyDescent="0.25">
      <c r="B28" s="3" t="s">
        <v>11</v>
      </c>
      <c r="C28" s="13">
        <f>+J28/'1'!J16</f>
        <v>0.19679024304332512</v>
      </c>
      <c r="D28" s="13">
        <f>+K28/'1'!K16</f>
        <v>0.10571441921315765</v>
      </c>
      <c r="E28" s="13">
        <f>+L28/'1'!L16</f>
        <v>9.5721997041704282E-2</v>
      </c>
      <c r="F28" s="13">
        <f>+M28/'1'!M16</f>
        <v>0.17264170773290982</v>
      </c>
      <c r="G28" s="13">
        <f>+N28/'1'!N16</f>
        <v>0.14111806534062982</v>
      </c>
      <c r="I28" s="3" t="s">
        <v>11</v>
      </c>
      <c r="J28" s="1">
        <v>8939</v>
      </c>
      <c r="K28" s="1">
        <v>4525</v>
      </c>
      <c r="L28" s="1">
        <v>4983</v>
      </c>
      <c r="M28" s="1">
        <v>7392</v>
      </c>
      <c r="N28" s="1">
        <f t="shared" si="7"/>
        <v>25839</v>
      </c>
    </row>
    <row r="29" spans="2:18" x14ac:dyDescent="0.25">
      <c r="B29" s="2" t="s">
        <v>12</v>
      </c>
      <c r="C29" s="12">
        <f>+J29/'1'!J17</f>
        <v>6.6371240557949865E-2</v>
      </c>
      <c r="D29" s="12">
        <f>+K29/'1'!K17</f>
        <v>6.5605477651129632E-2</v>
      </c>
      <c r="E29" s="12">
        <f>+L29/'1'!L17</f>
        <v>8.1010982832249639E-2</v>
      </c>
      <c r="F29" s="12">
        <f>+M29/'1'!M17</f>
        <v>9.9188428095869002E-2</v>
      </c>
      <c r="G29" s="12">
        <f>+N29/'1'!N17</f>
        <v>7.8025854763779295E-2</v>
      </c>
      <c r="I29" s="2" t="s">
        <v>12</v>
      </c>
      <c r="J29" s="1">
        <v>57289</v>
      </c>
      <c r="K29" s="1">
        <v>53695</v>
      </c>
      <c r="L29" s="1">
        <v>65124</v>
      </c>
      <c r="M29" s="1">
        <v>83548</v>
      </c>
      <c r="N29" s="1">
        <f t="shared" si="7"/>
        <v>259656</v>
      </c>
    </row>
    <row r="31" spans="2:18" x14ac:dyDescent="0.25">
      <c r="B31" s="6" t="s">
        <v>19</v>
      </c>
      <c r="C31" s="12">
        <f>+J31/'1'!J19</f>
        <v>0.26322776273066972</v>
      </c>
      <c r="D31" s="12">
        <f>+K31/'1'!K19</f>
        <v>0.26097952987589107</v>
      </c>
      <c r="E31" s="12">
        <f>+L31/'1'!L19</f>
        <v>0.26864108361390665</v>
      </c>
      <c r="F31" s="12">
        <f>+M31/'1'!M19</f>
        <v>0.28250638787300464</v>
      </c>
      <c r="G31" s="12">
        <f>+N31/'1'!N19</f>
        <v>0.26899218791246754</v>
      </c>
      <c r="I31" s="6" t="s">
        <v>19</v>
      </c>
      <c r="J31" s="1">
        <f>+J19+J24</f>
        <v>3031054</v>
      </c>
      <c r="K31" s="1">
        <f t="shared" ref="K31:M31" si="9">+K19+K24</f>
        <v>2963534</v>
      </c>
      <c r="L31" s="1">
        <f t="shared" si="9"/>
        <v>3148088</v>
      </c>
      <c r="M31" s="1">
        <f t="shared" si="9"/>
        <v>3375616</v>
      </c>
      <c r="N31" s="1">
        <f>SUM(J31:M31)</f>
        <v>12518292</v>
      </c>
      <c r="P31" s="1"/>
      <c r="R31" s="1"/>
    </row>
    <row r="33" spans="2:18" x14ac:dyDescent="0.25">
      <c r="B33" s="8" t="s">
        <v>36</v>
      </c>
      <c r="C33" t="s">
        <v>15</v>
      </c>
      <c r="D33" t="s">
        <v>18</v>
      </c>
      <c r="E33" t="s">
        <v>17</v>
      </c>
      <c r="F33" t="s">
        <v>16</v>
      </c>
      <c r="G33">
        <v>2023</v>
      </c>
      <c r="H33" s="1"/>
      <c r="I33" s="8" t="s">
        <v>36</v>
      </c>
      <c r="J33" t="s">
        <v>15</v>
      </c>
      <c r="K33" t="s">
        <v>18</v>
      </c>
      <c r="L33" t="s">
        <v>17</v>
      </c>
      <c r="M33" t="s">
        <v>16</v>
      </c>
      <c r="N33">
        <v>2023</v>
      </c>
      <c r="O33" s="1"/>
    </row>
    <row r="34" spans="2:18" x14ac:dyDescent="0.25">
      <c r="B34" s="2" t="s">
        <v>2</v>
      </c>
      <c r="C34" s="12">
        <f>+J34/'1'!J7</f>
        <v>8.5464811419677086E-2</v>
      </c>
      <c r="D34" s="12">
        <f>+K34/'1'!K7</f>
        <v>9.45036531614728E-2</v>
      </c>
      <c r="E34" s="12">
        <f>+L34/'1'!L7</f>
        <v>0.10132600139145347</v>
      </c>
      <c r="F34" s="12">
        <f>+M34/'1'!M7</f>
        <v>0.10431903181548602</v>
      </c>
      <c r="G34" s="12">
        <f>+N34/'1'!N7</f>
        <v>9.6506777594481938E-2</v>
      </c>
      <c r="H34" s="1"/>
      <c r="I34" s="2" t="s">
        <v>2</v>
      </c>
      <c r="J34" s="1">
        <f>SUM(J35:J38)</f>
        <v>613981</v>
      </c>
      <c r="K34" s="1">
        <f t="shared" ref="K34:M34" si="10">SUM(K35:K38)</f>
        <v>660772</v>
      </c>
      <c r="L34" s="1">
        <f t="shared" si="10"/>
        <v>742621</v>
      </c>
      <c r="M34" s="1">
        <f t="shared" si="10"/>
        <v>774641</v>
      </c>
      <c r="N34" s="1">
        <f>SUM(J34:M34)</f>
        <v>2792015</v>
      </c>
      <c r="O34" s="1"/>
      <c r="P34" s="1"/>
      <c r="Q34" s="1"/>
    </row>
    <row r="35" spans="2:18" x14ac:dyDescent="0.25">
      <c r="B35" s="3" t="s">
        <v>3</v>
      </c>
      <c r="C35" s="13">
        <f>+J35/'1'!J8</f>
        <v>0.10105734074439496</v>
      </c>
      <c r="D35" s="13">
        <f>+K35/'1'!K8</f>
        <v>7.3850197579627186E-2</v>
      </c>
      <c r="E35" s="13">
        <f>+L35/'1'!L8</f>
        <v>9.2511584540859601E-2</v>
      </c>
      <c r="F35" s="13">
        <f>+M35/'1'!M8</f>
        <v>0.10886299351565147</v>
      </c>
      <c r="G35" s="13">
        <f>+N35/'1'!N8</f>
        <v>9.4555533813147657E-2</v>
      </c>
      <c r="H35" s="1"/>
      <c r="I35" s="3" t="s">
        <v>3</v>
      </c>
      <c r="J35" s="1">
        <v>56744</v>
      </c>
      <c r="K35" s="1">
        <v>41246</v>
      </c>
      <c r="L35" s="1">
        <v>52786</v>
      </c>
      <c r="M35" s="1">
        <v>69085</v>
      </c>
      <c r="N35" s="1">
        <f t="shared" ref="N35:N44" si="11">SUM(J35:M35)</f>
        <v>219861</v>
      </c>
      <c r="O35" s="1"/>
      <c r="P35" s="1"/>
      <c r="Q35" s="1"/>
    </row>
    <row r="36" spans="2:18" x14ac:dyDescent="0.25">
      <c r="B36" s="3" t="s">
        <v>4</v>
      </c>
      <c r="C36" s="13">
        <f>+J36/'1'!J9</f>
        <v>6.3815866317108089E-2</v>
      </c>
      <c r="D36" s="13">
        <f>+K36/'1'!K9</f>
        <v>7.030631151026398E-2</v>
      </c>
      <c r="E36" s="13">
        <f>+L36/'1'!L9</f>
        <v>7.9691083870360419E-2</v>
      </c>
      <c r="F36" s="13">
        <f>+M36/'1'!M9</f>
        <v>8.1373917264604606E-2</v>
      </c>
      <c r="G36" s="13">
        <f>+N36/'1'!N9</f>
        <v>7.3839257780266884E-2</v>
      </c>
      <c r="H36" s="1"/>
      <c r="I36" s="3" t="s">
        <v>4</v>
      </c>
      <c r="J36" s="1">
        <v>266077</v>
      </c>
      <c r="K36" s="1">
        <v>280914</v>
      </c>
      <c r="L36" s="1">
        <v>328468</v>
      </c>
      <c r="M36" s="1">
        <v>343312</v>
      </c>
      <c r="N36" s="1">
        <f t="shared" si="11"/>
        <v>1218771</v>
      </c>
      <c r="O36" s="1"/>
      <c r="P36" s="1"/>
      <c r="Q36" s="1"/>
    </row>
    <row r="37" spans="2:18" x14ac:dyDescent="0.25">
      <c r="B37" s="3" t="s">
        <v>5</v>
      </c>
      <c r="C37" s="13">
        <f>+J37/'1'!J10</f>
        <v>0.12132917044841932</v>
      </c>
      <c r="D37" s="13">
        <f>+K37/'1'!K10</f>
        <v>0.14251246347540544</v>
      </c>
      <c r="E37" s="13">
        <f>+L37/'1'!L10</f>
        <v>0.14039386463738057</v>
      </c>
      <c r="F37" s="13">
        <f>+M37/'1'!M10</f>
        <v>0.14580230190839197</v>
      </c>
      <c r="G37" s="13">
        <f>+N37/'1'!N10</f>
        <v>0.13766349186741597</v>
      </c>
      <c r="H37" s="1"/>
      <c r="I37" s="3" t="s">
        <v>5</v>
      </c>
      <c r="J37" s="1">
        <v>283799</v>
      </c>
      <c r="K37" s="1">
        <v>332484</v>
      </c>
      <c r="L37" s="1">
        <v>353465</v>
      </c>
      <c r="M37" s="1">
        <v>358655</v>
      </c>
      <c r="N37" s="1">
        <f t="shared" si="11"/>
        <v>1328403</v>
      </c>
      <c r="O37" s="1"/>
      <c r="P37" s="1"/>
      <c r="Q37" s="1"/>
    </row>
    <row r="38" spans="2:18" x14ac:dyDescent="0.25">
      <c r="B38" s="3" t="s">
        <v>6</v>
      </c>
      <c r="C38" s="13">
        <f>+J38/'1'!J11</f>
        <v>6.4578106083203204E-2</v>
      </c>
      <c r="D38" s="13">
        <f>+K38/'1'!K11</f>
        <v>5.8402508410609281E-2</v>
      </c>
      <c r="E38" s="13">
        <f>+L38/'1'!L11</f>
        <v>6.640001344470027E-2</v>
      </c>
      <c r="F38" s="13">
        <f>+M38/'1'!M11</f>
        <v>3.1967293423947413E-2</v>
      </c>
      <c r="G38" s="13">
        <f>+N38/'1'!N11</f>
        <v>5.548768297829805E-2</v>
      </c>
      <c r="H38" s="1"/>
      <c r="I38" s="3" t="s">
        <v>6</v>
      </c>
      <c r="J38" s="1">
        <v>7361</v>
      </c>
      <c r="K38" s="1">
        <v>6128</v>
      </c>
      <c r="L38" s="1">
        <v>7902</v>
      </c>
      <c r="M38" s="1">
        <v>3589</v>
      </c>
      <c r="N38" s="1">
        <f t="shared" si="11"/>
        <v>24980</v>
      </c>
      <c r="O38" s="1"/>
      <c r="P38" s="1"/>
      <c r="Q38" s="1"/>
    </row>
    <row r="39" spans="2:18" x14ac:dyDescent="0.25">
      <c r="B39" s="2" t="s">
        <v>7</v>
      </c>
      <c r="C39" s="12">
        <f>+J39/'1'!J12</f>
        <v>9.5026999993303968E-2</v>
      </c>
      <c r="D39" s="12">
        <f>+K39/'1'!K12</f>
        <v>0.11368838206710774</v>
      </c>
      <c r="E39" s="12">
        <f>+L39/'1'!L12</f>
        <v>0.11438584197243537</v>
      </c>
      <c r="F39" s="12">
        <f>+M39/'1'!M12</f>
        <v>0.11329234835857807</v>
      </c>
      <c r="G39" s="12">
        <f>+N39/'1'!N12</f>
        <v>0.10917024020066579</v>
      </c>
      <c r="H39" s="1"/>
      <c r="I39" s="2" t="s">
        <v>7</v>
      </c>
      <c r="J39" s="1">
        <f>SUM(J40:J44)</f>
        <v>411555</v>
      </c>
      <c r="K39" s="1">
        <f t="shared" ref="K39:M39" si="12">SUM(K40:K44)</f>
        <v>496068</v>
      </c>
      <c r="L39" s="1">
        <f t="shared" si="12"/>
        <v>502101</v>
      </c>
      <c r="M39" s="1">
        <f t="shared" si="12"/>
        <v>512435</v>
      </c>
      <c r="N39" s="1">
        <f t="shared" si="11"/>
        <v>1922159</v>
      </c>
      <c r="O39" s="1"/>
      <c r="P39" s="1"/>
      <c r="Q39" s="1"/>
    </row>
    <row r="40" spans="2:18" x14ac:dyDescent="0.25">
      <c r="B40" s="3" t="s">
        <v>8</v>
      </c>
      <c r="C40" s="13">
        <f>+J40/'1'!J13</f>
        <v>6.1163860534997908E-2</v>
      </c>
      <c r="D40" s="13">
        <f>+K40/'1'!K13</f>
        <v>9.4410596720281029E-2</v>
      </c>
      <c r="E40" s="13">
        <f>+L40/'1'!L13</f>
        <v>5.8733562861328158E-2</v>
      </c>
      <c r="F40" s="13">
        <f>+M40/'1'!M13</f>
        <v>5.6345013349013595E-2</v>
      </c>
      <c r="G40" s="13">
        <f>+N40/'1'!N13</f>
        <v>6.7372186141513676E-2</v>
      </c>
      <c r="H40" s="1"/>
      <c r="I40" s="3" t="s">
        <v>8</v>
      </c>
      <c r="J40" s="1">
        <v>19744</v>
      </c>
      <c r="K40" s="1">
        <v>28838</v>
      </c>
      <c r="L40" s="1">
        <v>17281</v>
      </c>
      <c r="M40" s="1">
        <v>18973</v>
      </c>
      <c r="N40" s="1">
        <f t="shared" si="11"/>
        <v>84836</v>
      </c>
      <c r="O40" s="1"/>
      <c r="P40" s="1"/>
      <c r="Q40" s="1"/>
    </row>
    <row r="41" spans="2:18" x14ac:dyDescent="0.25">
      <c r="B41" s="3" t="s">
        <v>9</v>
      </c>
      <c r="C41" s="13">
        <f>+J41/'1'!J14</f>
        <v>6.2711243656150259E-2</v>
      </c>
      <c r="D41" s="13">
        <f>+K41/'1'!K14</f>
        <v>7.241866992379152E-2</v>
      </c>
      <c r="E41" s="13">
        <f>+L41/'1'!L14</f>
        <v>9.6181392545892821E-2</v>
      </c>
      <c r="F41" s="13">
        <f>+M41/'1'!M14</f>
        <v>7.2715164657649323E-2</v>
      </c>
      <c r="G41" s="13">
        <f>+N41/'1'!N14</f>
        <v>7.6246236234208231E-2</v>
      </c>
      <c r="H41" s="1"/>
      <c r="I41" s="3" t="s">
        <v>9</v>
      </c>
      <c r="J41" s="1">
        <v>101881</v>
      </c>
      <c r="K41" s="1">
        <v>119411</v>
      </c>
      <c r="L41" s="1">
        <v>165986</v>
      </c>
      <c r="M41" s="1">
        <v>125679</v>
      </c>
      <c r="N41" s="1">
        <f t="shared" si="11"/>
        <v>512957</v>
      </c>
      <c r="O41" s="1"/>
      <c r="P41" s="1"/>
      <c r="Q41" s="1"/>
    </row>
    <row r="42" spans="2:18" x14ac:dyDescent="0.25">
      <c r="B42" s="3" t="s">
        <v>10</v>
      </c>
      <c r="C42" s="13">
        <f>+J42/'1'!J15</f>
        <v>4.4378901951291072E-2</v>
      </c>
      <c r="D42" s="13">
        <f>+K42/'1'!K15</f>
        <v>6.2447860450688557E-2</v>
      </c>
      <c r="E42" s="13">
        <f>+L42/'1'!L15</f>
        <v>5.5151814848280079E-2</v>
      </c>
      <c r="F42" s="13">
        <f>+M42/'1'!M15</f>
        <v>6.7702025628508772E-2</v>
      </c>
      <c r="G42" s="13">
        <f>+N42/'1'!N15</f>
        <v>5.7524111919062704E-2</v>
      </c>
      <c r="H42" s="1"/>
      <c r="I42" s="3" t="s">
        <v>10</v>
      </c>
      <c r="J42" s="1">
        <v>103762</v>
      </c>
      <c r="K42" s="1">
        <v>147767</v>
      </c>
      <c r="L42" s="1">
        <v>127814</v>
      </c>
      <c r="M42" s="1">
        <v>163514</v>
      </c>
      <c r="N42" s="1">
        <f t="shared" si="11"/>
        <v>542857</v>
      </c>
      <c r="O42" s="1"/>
      <c r="P42" s="1"/>
      <c r="Q42" s="1"/>
    </row>
    <row r="43" spans="2:18" x14ac:dyDescent="0.25">
      <c r="B43" s="3" t="s">
        <v>11</v>
      </c>
      <c r="C43" s="13">
        <f>+J43/'1'!J16</f>
        <v>6.5119760479041916E-2</v>
      </c>
      <c r="D43" s="13">
        <f>+K43/'1'!K16</f>
        <v>9.999065507896459E-3</v>
      </c>
      <c r="E43" s="13">
        <f>+L43/'1'!L16</f>
        <v>4.950342893366886E-2</v>
      </c>
      <c r="F43" s="13">
        <f>+M43/'1'!M16</f>
        <v>5.0867646028446643E-2</v>
      </c>
      <c r="G43" s="13">
        <f>+N43/'1'!N16</f>
        <v>4.4461556946401457E-2</v>
      </c>
      <c r="H43" s="1"/>
      <c r="I43" s="3" t="s">
        <v>11</v>
      </c>
      <c r="J43" s="1">
        <v>2958</v>
      </c>
      <c r="K43">
        <v>428</v>
      </c>
      <c r="L43" s="1">
        <v>2577</v>
      </c>
      <c r="M43" s="1">
        <v>2178</v>
      </c>
      <c r="N43" s="1">
        <f t="shared" si="11"/>
        <v>8141</v>
      </c>
      <c r="O43" s="1"/>
      <c r="Q43" s="1"/>
    </row>
    <row r="44" spans="2:18" x14ac:dyDescent="0.25">
      <c r="B44" s="2" t="s">
        <v>12</v>
      </c>
      <c r="C44" s="12">
        <f>+J44/'1'!J17</f>
        <v>0.21225497010982899</v>
      </c>
      <c r="D44" s="12">
        <f>+K44/'1'!K17</f>
        <v>0.24390404824711986</v>
      </c>
      <c r="E44" s="12">
        <f>+L44/'1'!L17</f>
        <v>0.23441362075206712</v>
      </c>
      <c r="F44" s="12">
        <f>+M44/'1'!M17</f>
        <v>0.23992302176380362</v>
      </c>
      <c r="G44" s="12">
        <f>+N44/'1'!N17</f>
        <v>0.23239478096772062</v>
      </c>
      <c r="I44" s="2" t="s">
        <v>12</v>
      </c>
      <c r="J44" s="1">
        <v>183210</v>
      </c>
      <c r="K44" s="1">
        <v>199624</v>
      </c>
      <c r="L44" s="1">
        <v>188443</v>
      </c>
      <c r="M44" s="1">
        <v>202091</v>
      </c>
      <c r="N44" s="1">
        <f t="shared" si="11"/>
        <v>773368</v>
      </c>
    </row>
    <row r="45" spans="2:18" x14ac:dyDescent="0.25">
      <c r="O45" s="1"/>
      <c r="P45" s="1"/>
      <c r="Q45" s="1"/>
    </row>
    <row r="46" spans="2:18" x14ac:dyDescent="0.25">
      <c r="B46" s="6" t="s">
        <v>19</v>
      </c>
      <c r="C46" s="12">
        <f>+J46/'1'!J19</f>
        <v>8.9061279304083696E-2</v>
      </c>
      <c r="D46" s="12">
        <f>+K46/'1'!K19</f>
        <v>0.10187551731872346</v>
      </c>
      <c r="E46" s="12">
        <f>+L46/'1'!L19</f>
        <v>0.10621795416076968</v>
      </c>
      <c r="F46" s="12">
        <f>+M46/'1'!M19</f>
        <v>0.10771580407191911</v>
      </c>
      <c r="G46" s="12">
        <f>+N46/'1'!N19</f>
        <v>0.10129784306517764</v>
      </c>
      <c r="I46" s="6" t="s">
        <v>19</v>
      </c>
      <c r="J46" s="1">
        <f>+J34+J39</f>
        <v>1025536</v>
      </c>
      <c r="K46" s="1">
        <f t="shared" ref="K46:M46" si="13">+K34+K39</f>
        <v>1156840</v>
      </c>
      <c r="L46" s="1">
        <f t="shared" si="13"/>
        <v>1244722</v>
      </c>
      <c r="M46" s="1">
        <f t="shared" si="13"/>
        <v>1287076</v>
      </c>
      <c r="N46" s="1">
        <f>SUM(J46:M46)</f>
        <v>4714174</v>
      </c>
      <c r="P46" s="1"/>
      <c r="R46" s="1"/>
    </row>
    <row r="48" spans="2:18" x14ac:dyDescent="0.25">
      <c r="B48" s="8" t="s">
        <v>37</v>
      </c>
      <c r="C48" t="s">
        <v>15</v>
      </c>
      <c r="D48" t="s">
        <v>18</v>
      </c>
      <c r="E48" t="s">
        <v>17</v>
      </c>
      <c r="F48" t="s">
        <v>16</v>
      </c>
      <c r="G48">
        <v>2023</v>
      </c>
      <c r="I48" s="8" t="s">
        <v>37</v>
      </c>
      <c r="J48" t="s">
        <v>15</v>
      </c>
      <c r="K48" t="s">
        <v>18</v>
      </c>
      <c r="L48" t="s">
        <v>17</v>
      </c>
      <c r="M48" t="s">
        <v>16</v>
      </c>
      <c r="N48">
        <v>2023</v>
      </c>
    </row>
    <row r="49" spans="2:18" x14ac:dyDescent="0.25">
      <c r="B49" s="2" t="s">
        <v>2</v>
      </c>
      <c r="C49" s="12">
        <f>+J49/'1'!J7</f>
        <v>4.2656473303738951E-2</v>
      </c>
      <c r="D49" s="12">
        <f>+K49/'1'!K7</f>
        <v>4.5873399212188283E-2</v>
      </c>
      <c r="E49" s="12">
        <f>+L49/'1'!L7</f>
        <v>4.9373538943163944E-2</v>
      </c>
      <c r="F49" s="12">
        <f>+M49/'1'!M7</f>
        <v>4.8411380380441314E-2</v>
      </c>
      <c r="G49" s="12">
        <f>+N49/'1'!N7</f>
        <v>4.6612695979083303E-2</v>
      </c>
      <c r="I49" s="2" t="s">
        <v>2</v>
      </c>
      <c r="J49" s="1">
        <f>SUM(J50:J53)</f>
        <v>306445</v>
      </c>
      <c r="K49" s="1">
        <f t="shared" ref="K49:M49" si="14">SUM(K50:K53)</f>
        <v>320748</v>
      </c>
      <c r="L49" s="1">
        <f t="shared" si="14"/>
        <v>361860</v>
      </c>
      <c r="M49" s="1">
        <f t="shared" si="14"/>
        <v>359488</v>
      </c>
      <c r="N49" s="1">
        <f>SUM(J49:M49)</f>
        <v>1348541</v>
      </c>
    </row>
    <row r="50" spans="2:18" x14ac:dyDescent="0.25">
      <c r="B50" s="3" t="s">
        <v>3</v>
      </c>
      <c r="C50" s="13"/>
      <c r="D50" s="13"/>
      <c r="E50" s="13"/>
      <c r="F50" s="13"/>
      <c r="G50" s="13"/>
      <c r="I50" s="3" t="s">
        <v>3</v>
      </c>
      <c r="N50" s="1">
        <f t="shared" ref="N50:N59" si="15">SUM(J50:M50)</f>
        <v>0</v>
      </c>
    </row>
    <row r="51" spans="2:18" x14ac:dyDescent="0.25">
      <c r="B51" s="3" t="s">
        <v>4</v>
      </c>
      <c r="C51" s="13">
        <f>+J51/'1'!J9</f>
        <v>4.9648526699810937E-2</v>
      </c>
      <c r="D51" s="13">
        <f>+K51/'1'!K9</f>
        <v>5.320863866083788E-2</v>
      </c>
      <c r="E51" s="13">
        <f>+L51/'1'!L9</f>
        <v>6.4574262585503403E-2</v>
      </c>
      <c r="F51" s="13">
        <f>+M51/'1'!M9</f>
        <v>6.1654764794223389E-2</v>
      </c>
      <c r="G51" s="13">
        <f>+N51/'1'!N9</f>
        <v>5.7306395135944287E-2</v>
      </c>
      <c r="I51" s="3" t="s">
        <v>4</v>
      </c>
      <c r="J51" s="1">
        <v>207007</v>
      </c>
      <c r="K51" s="1">
        <v>212599</v>
      </c>
      <c r="L51" s="1">
        <v>266160</v>
      </c>
      <c r="M51" s="1">
        <v>260118</v>
      </c>
      <c r="N51" s="1">
        <f t="shared" si="15"/>
        <v>945884</v>
      </c>
    </row>
    <row r="52" spans="2:18" x14ac:dyDescent="0.25">
      <c r="B52" s="3" t="s">
        <v>5</v>
      </c>
      <c r="C52" s="13">
        <f>+J52/'1'!J10</f>
        <v>4.2511531228263386E-2</v>
      </c>
      <c r="D52" s="13">
        <f>+K52/'1'!K10</f>
        <v>4.635585595818633E-2</v>
      </c>
      <c r="E52" s="13">
        <f>+L52/'1'!L10</f>
        <v>3.8011381171536983E-2</v>
      </c>
      <c r="F52" s="13">
        <f>+M52/'1'!M10</f>
        <v>4.0396410870159098E-2</v>
      </c>
      <c r="G52" s="13">
        <f>+N52/'1'!N10</f>
        <v>4.1727674993852104E-2</v>
      </c>
      <c r="I52" s="3" t="s">
        <v>5</v>
      </c>
      <c r="J52" s="1">
        <v>99438</v>
      </c>
      <c r="K52" s="1">
        <v>108149</v>
      </c>
      <c r="L52" s="1">
        <v>95700</v>
      </c>
      <c r="M52" s="1">
        <v>99370</v>
      </c>
      <c r="N52" s="1">
        <f t="shared" si="15"/>
        <v>402657</v>
      </c>
    </row>
    <row r="53" spans="2:18" x14ac:dyDescent="0.25">
      <c r="B53" s="3" t="s">
        <v>6</v>
      </c>
      <c r="C53" s="13"/>
      <c r="D53" s="13"/>
      <c r="E53" s="13"/>
      <c r="F53" s="13"/>
      <c r="G53" s="13"/>
      <c r="I53" s="3" t="s">
        <v>6</v>
      </c>
      <c r="N53" s="1">
        <f t="shared" si="15"/>
        <v>0</v>
      </c>
    </row>
    <row r="54" spans="2:18" x14ac:dyDescent="0.25">
      <c r="B54" s="2" t="s">
        <v>7</v>
      </c>
      <c r="C54" s="12"/>
      <c r="D54" s="12"/>
      <c r="E54" s="12"/>
      <c r="F54" s="12"/>
      <c r="G54" s="12"/>
      <c r="I54" s="2" t="s">
        <v>7</v>
      </c>
      <c r="J54" s="1">
        <f>SUM(J55:J59)</f>
        <v>114462</v>
      </c>
      <c r="K54" s="1">
        <f t="shared" ref="K54:M54" si="16">SUM(K55:K59)</f>
        <v>117028</v>
      </c>
      <c r="L54" s="1">
        <f t="shared" si="16"/>
        <v>110492</v>
      </c>
      <c r="M54" s="1">
        <f t="shared" si="16"/>
        <v>109870</v>
      </c>
      <c r="N54" s="1">
        <f t="shared" si="15"/>
        <v>451852</v>
      </c>
    </row>
    <row r="55" spans="2:18" x14ac:dyDescent="0.25">
      <c r="B55" s="3" t="s">
        <v>8</v>
      </c>
      <c r="C55" s="13"/>
      <c r="D55" s="13"/>
      <c r="E55" s="13"/>
      <c r="F55" s="13"/>
      <c r="G55" s="13"/>
      <c r="I55" s="3" t="s">
        <v>8</v>
      </c>
      <c r="N55" s="1">
        <f t="shared" si="15"/>
        <v>0</v>
      </c>
    </row>
    <row r="56" spans="2:18" x14ac:dyDescent="0.25">
      <c r="B56" s="3" t="s">
        <v>9</v>
      </c>
      <c r="C56" s="13">
        <f>+J56/'1'!J14</f>
        <v>5.9954265806149799E-2</v>
      </c>
      <c r="D56" s="13">
        <f>+K56/'1'!K14</f>
        <v>5.8879930717363964E-2</v>
      </c>
      <c r="E56" s="13">
        <f>+L56/'1'!L14</f>
        <v>5.2878152234377897E-2</v>
      </c>
      <c r="F56" s="13">
        <f>+M56/'1'!M14</f>
        <v>5.2268201211080473E-2</v>
      </c>
      <c r="G56" s="13">
        <f>+N56/'1'!N14</f>
        <v>5.5901202755142702E-2</v>
      </c>
      <c r="I56" s="3" t="s">
        <v>9</v>
      </c>
      <c r="J56" s="1">
        <v>97402</v>
      </c>
      <c r="K56" s="1">
        <v>97087</v>
      </c>
      <c r="L56" s="1">
        <v>91255</v>
      </c>
      <c r="M56" s="1">
        <v>90339</v>
      </c>
      <c r="N56" s="1">
        <f t="shared" si="15"/>
        <v>376083</v>
      </c>
    </row>
    <row r="57" spans="2:18" x14ac:dyDescent="0.25">
      <c r="B57" s="3" t="s">
        <v>10</v>
      </c>
      <c r="C57" s="13"/>
      <c r="D57" s="13"/>
      <c r="E57" s="13"/>
      <c r="F57" s="13"/>
      <c r="G57" s="13"/>
      <c r="I57" s="3" t="s">
        <v>10</v>
      </c>
      <c r="N57" s="1">
        <f t="shared" si="15"/>
        <v>0</v>
      </c>
    </row>
    <row r="58" spans="2:18" x14ac:dyDescent="0.25">
      <c r="B58" s="3" t="s">
        <v>11</v>
      </c>
      <c r="C58" s="13"/>
      <c r="D58" s="13"/>
      <c r="E58" s="13"/>
      <c r="F58" s="13"/>
      <c r="G58" s="13"/>
      <c r="I58" s="3" t="s">
        <v>11</v>
      </c>
      <c r="N58" s="1">
        <f t="shared" si="15"/>
        <v>0</v>
      </c>
    </row>
    <row r="59" spans="2:18" x14ac:dyDescent="0.25">
      <c r="B59" s="2" t="s">
        <v>12</v>
      </c>
      <c r="C59" s="12">
        <f>+J59/'1'!J17</f>
        <v>1.9764585940034291E-2</v>
      </c>
      <c r="D59" s="12">
        <f>+K59/'1'!K17</f>
        <v>2.4364257935397635E-2</v>
      </c>
      <c r="E59" s="12">
        <f>+L59/'1'!L17</f>
        <v>2.3929861137890585E-2</v>
      </c>
      <c r="F59" s="12">
        <f>+M59/'1'!M17</f>
        <v>2.3187259888212974E-2</v>
      </c>
      <c r="G59" s="12">
        <f>+N59/'1'!N17</f>
        <v>2.2768358865563641E-2</v>
      </c>
      <c r="I59" s="2" t="s">
        <v>12</v>
      </c>
      <c r="J59" s="1">
        <v>17060</v>
      </c>
      <c r="K59" s="1">
        <v>19941</v>
      </c>
      <c r="L59" s="1">
        <v>19237</v>
      </c>
      <c r="M59" s="1">
        <v>19531</v>
      </c>
      <c r="N59" s="1">
        <f t="shared" si="15"/>
        <v>75769</v>
      </c>
    </row>
    <row r="61" spans="2:18" x14ac:dyDescent="0.25">
      <c r="B61" s="6" t="s">
        <v>19</v>
      </c>
      <c r="C61" s="12">
        <f>+J61/'1'!J19</f>
        <v>3.6553096027876111E-2</v>
      </c>
      <c r="D61" s="12">
        <f>+K61/'1'!K19</f>
        <v>3.8552138990458042E-2</v>
      </c>
      <c r="E61" s="12">
        <f>+L61/'1'!L19</f>
        <v>4.0308006995737104E-2</v>
      </c>
      <c r="F61" s="12">
        <f>+M61/'1'!M19</f>
        <v>3.928072185915036E-2</v>
      </c>
      <c r="G61" s="12">
        <f>+N61/'1'!N19</f>
        <v>3.8686719575824813E-2</v>
      </c>
      <c r="I61" s="6" t="s">
        <v>19</v>
      </c>
      <c r="J61" s="1">
        <f>+J49+J54</f>
        <v>420907</v>
      </c>
      <c r="K61" s="1">
        <f t="shared" ref="K61:M61" si="17">+K49+K54</f>
        <v>437776</v>
      </c>
      <c r="L61" s="1">
        <f t="shared" si="17"/>
        <v>472352</v>
      </c>
      <c r="M61" s="1">
        <f t="shared" si="17"/>
        <v>469358</v>
      </c>
      <c r="N61" s="1">
        <f>SUM(J61:M61)</f>
        <v>1800393</v>
      </c>
      <c r="P61" s="1"/>
      <c r="R61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1"/>
  <sheetViews>
    <sheetView topLeftCell="B52" workbookViewId="0">
      <selection activeCell="G71" sqref="G71"/>
    </sheetView>
  </sheetViews>
  <sheetFormatPr baseColWidth="10" defaultRowHeight="15" x14ac:dyDescent="0.25"/>
  <cols>
    <col min="2" max="2" width="31.28515625" customWidth="1"/>
    <col min="9" max="9" width="31.28515625" customWidth="1"/>
  </cols>
  <sheetData>
    <row r="1" spans="2:13" x14ac:dyDescent="0.25">
      <c r="B1" t="s">
        <v>46</v>
      </c>
    </row>
    <row r="2" spans="2:13" x14ac:dyDescent="0.25">
      <c r="I2" t="s">
        <v>47</v>
      </c>
      <c r="J2">
        <v>1288.9494000000002</v>
      </c>
      <c r="K2">
        <v>1606.8052333333333</v>
      </c>
      <c r="L2">
        <v>2055.7637333333332</v>
      </c>
      <c r="M2">
        <v>2948.5093333333334</v>
      </c>
    </row>
    <row r="3" spans="2:13" x14ac:dyDescent="0.25">
      <c r="B3" s="8" t="s">
        <v>39</v>
      </c>
      <c r="C3" t="s">
        <v>15</v>
      </c>
      <c r="D3" t="s">
        <v>18</v>
      </c>
      <c r="E3" t="s">
        <v>17</v>
      </c>
      <c r="F3" t="s">
        <v>16</v>
      </c>
      <c r="G3" t="s">
        <v>48</v>
      </c>
      <c r="I3" s="8" t="s">
        <v>39</v>
      </c>
      <c r="J3" t="s">
        <v>15</v>
      </c>
      <c r="K3" t="s">
        <v>18</v>
      </c>
      <c r="L3" t="s">
        <v>17</v>
      </c>
      <c r="M3" t="s">
        <v>16</v>
      </c>
    </row>
    <row r="4" spans="2:13" x14ac:dyDescent="0.25">
      <c r="B4" s="2" t="s">
        <v>2</v>
      </c>
      <c r="C4" s="15">
        <f>+J4/J$6*100</f>
        <v>110.20844823620995</v>
      </c>
      <c r="D4" s="15">
        <f t="shared" ref="C4:D16" si="0">+K4/K$6*100</f>
        <v>110.545139534584</v>
      </c>
      <c r="E4" s="15">
        <f t="shared" ref="E4:E16" si="1">+L4/L$6*100</f>
        <v>113.72491486186134</v>
      </c>
      <c r="F4" s="15">
        <f t="shared" ref="F4:F16" si="2">+M4/M$6*100</f>
        <v>111.82991397323478</v>
      </c>
      <c r="G4" s="15">
        <f>AVERAGE(C4:F4)</f>
        <v>111.57710415147253</v>
      </c>
      <c r="I4" s="2" t="s">
        <v>2</v>
      </c>
      <c r="J4">
        <v>936.36469999999997</v>
      </c>
      <c r="K4">
        <v>1200.8009999999999</v>
      </c>
      <c r="L4">
        <v>1476.693</v>
      </c>
      <c r="M4">
        <v>2062.1</v>
      </c>
    </row>
    <row r="5" spans="2:13" x14ac:dyDescent="0.25">
      <c r="B5" s="3" t="s">
        <v>3</v>
      </c>
      <c r="C5" s="15">
        <f t="shared" si="0"/>
        <v>129.31525771317558</v>
      </c>
      <c r="D5" s="15">
        <f t="shared" si="0"/>
        <v>118.23892017889004</v>
      </c>
      <c r="E5" s="15">
        <f t="shared" si="1"/>
        <v>133.58401143492611</v>
      </c>
      <c r="F5" s="15">
        <f t="shared" si="2"/>
        <v>116.71656830052264</v>
      </c>
      <c r="G5" s="15">
        <f t="shared" ref="G5:G12" si="3">AVERAGE(C5:F5)</f>
        <v>124.4636894068786</v>
      </c>
      <c r="I5" s="3" t="s">
        <v>3</v>
      </c>
      <c r="J5">
        <v>1098.702</v>
      </c>
      <c r="K5">
        <v>1284.375</v>
      </c>
      <c r="L5">
        <v>1734.559</v>
      </c>
      <c r="M5">
        <v>2152.2080000000001</v>
      </c>
    </row>
    <row r="6" spans="2:13" x14ac:dyDescent="0.25">
      <c r="B6" s="3" t="s">
        <v>4</v>
      </c>
      <c r="C6" s="15">
        <f t="shared" si="0"/>
        <v>100</v>
      </c>
      <c r="D6" s="15">
        <f t="shared" si="0"/>
        <v>100</v>
      </c>
      <c r="E6" s="15">
        <f t="shared" si="1"/>
        <v>100</v>
      </c>
      <c r="F6" s="15">
        <f t="shared" si="2"/>
        <v>100</v>
      </c>
      <c r="G6" s="15">
        <f t="shared" si="3"/>
        <v>100</v>
      </c>
      <c r="I6" s="3" t="s">
        <v>4</v>
      </c>
      <c r="J6">
        <v>849.63059999999996</v>
      </c>
      <c r="K6">
        <v>1086.2539999999999</v>
      </c>
      <c r="L6">
        <v>1298.4780000000001</v>
      </c>
      <c r="M6">
        <v>1843.961</v>
      </c>
    </row>
    <row r="7" spans="2:13" x14ac:dyDescent="0.25">
      <c r="B7" s="3" t="s">
        <v>5</v>
      </c>
      <c r="C7" s="15">
        <f t="shared" si="0"/>
        <v>120.67667995950242</v>
      </c>
      <c r="D7" s="15">
        <f t="shared" si="0"/>
        <v>121.2229368085181</v>
      </c>
      <c r="E7" s="15">
        <f t="shared" si="1"/>
        <v>131.22894650506208</v>
      </c>
      <c r="F7" s="15">
        <f t="shared" si="2"/>
        <v>125.87907227972825</v>
      </c>
      <c r="G7" s="15">
        <f t="shared" si="3"/>
        <v>124.75190888820271</v>
      </c>
      <c r="I7" s="3" t="s">
        <v>5</v>
      </c>
      <c r="J7">
        <v>1025.306</v>
      </c>
      <c r="K7">
        <v>1316.789</v>
      </c>
      <c r="L7">
        <v>1703.979</v>
      </c>
      <c r="M7">
        <v>2321.1610000000001</v>
      </c>
    </row>
    <row r="8" spans="2:13" x14ac:dyDescent="0.25">
      <c r="B8" s="3" t="s">
        <v>6</v>
      </c>
      <c r="C8" s="15">
        <f t="shared" si="0"/>
        <v>206.74926256187103</v>
      </c>
      <c r="D8" s="15">
        <f t="shared" si="0"/>
        <v>232.24696986156093</v>
      </c>
      <c r="E8" s="15">
        <f t="shared" si="1"/>
        <v>156.3650674096904</v>
      </c>
      <c r="F8" s="15">
        <f t="shared" si="2"/>
        <v>224.4218288781596</v>
      </c>
      <c r="G8" s="15">
        <f t="shared" si="3"/>
        <v>204.94578217782049</v>
      </c>
      <c r="I8" s="3" t="s">
        <v>6</v>
      </c>
      <c r="J8">
        <v>1756.605</v>
      </c>
      <c r="K8">
        <v>2522.7919999999999</v>
      </c>
      <c r="L8">
        <v>2030.366</v>
      </c>
      <c r="M8">
        <v>4138.2510000000002</v>
      </c>
    </row>
    <row r="9" spans="2:13" x14ac:dyDescent="0.25">
      <c r="B9" s="2" t="s">
        <v>7</v>
      </c>
      <c r="C9" s="15">
        <f t="shared" si="0"/>
        <v>68.989652679646895</v>
      </c>
      <c r="D9" s="15">
        <f t="shared" si="0"/>
        <v>64.581755280072613</v>
      </c>
      <c r="E9" s="15">
        <f t="shared" si="1"/>
        <v>68.582725313790448</v>
      </c>
      <c r="F9" s="15">
        <f t="shared" si="2"/>
        <v>66.389581992243876</v>
      </c>
      <c r="G9" s="15">
        <f t="shared" si="3"/>
        <v>67.135928816438451</v>
      </c>
      <c r="I9" s="2" t="s">
        <v>7</v>
      </c>
      <c r="J9">
        <v>586.15719999999999</v>
      </c>
      <c r="K9">
        <v>701.52189999999996</v>
      </c>
      <c r="L9">
        <v>890.53160000000003</v>
      </c>
      <c r="M9">
        <v>1224.1980000000001</v>
      </c>
    </row>
    <row r="10" spans="2:13" x14ac:dyDescent="0.25">
      <c r="B10" s="3" t="s">
        <v>8</v>
      </c>
      <c r="C10" s="15">
        <f t="shared" si="0"/>
        <v>145.54866550239598</v>
      </c>
      <c r="D10" s="15">
        <f t="shared" si="0"/>
        <v>110.74048979336327</v>
      </c>
      <c r="E10" s="15">
        <f t="shared" si="1"/>
        <v>127.21062659513676</v>
      </c>
      <c r="F10" s="15">
        <f t="shared" si="2"/>
        <v>113.11345521949758</v>
      </c>
      <c r="G10" s="15">
        <f t="shared" si="3"/>
        <v>124.1533092775984</v>
      </c>
      <c r="I10" s="3" t="s">
        <v>8</v>
      </c>
      <c r="J10">
        <v>1236.626</v>
      </c>
      <c r="K10">
        <v>1202.923</v>
      </c>
      <c r="L10">
        <v>1651.8019999999999</v>
      </c>
      <c r="M10">
        <v>2085.768</v>
      </c>
    </row>
    <row r="11" spans="2:13" x14ac:dyDescent="0.25">
      <c r="B11" s="3" t="s">
        <v>9</v>
      </c>
      <c r="C11" s="15">
        <f t="shared" si="0"/>
        <v>61.257939626939049</v>
      </c>
      <c r="D11" s="15">
        <f t="shared" si="0"/>
        <v>59.815899412108045</v>
      </c>
      <c r="E11" s="15">
        <f t="shared" si="1"/>
        <v>65.787791552879611</v>
      </c>
      <c r="F11" s="15">
        <f t="shared" si="2"/>
        <v>63.629762234667652</v>
      </c>
      <c r="G11" s="15">
        <f t="shared" si="3"/>
        <v>62.622848206648591</v>
      </c>
      <c r="I11" s="3" t="s">
        <v>9</v>
      </c>
      <c r="J11">
        <v>520.46619999999996</v>
      </c>
      <c r="K11">
        <v>649.75260000000003</v>
      </c>
      <c r="L11">
        <v>854.24</v>
      </c>
      <c r="M11">
        <v>1173.308</v>
      </c>
    </row>
    <row r="12" spans="2:13" x14ac:dyDescent="0.25">
      <c r="B12" s="3" t="s">
        <v>10</v>
      </c>
      <c r="C12" s="15">
        <f t="shared" si="0"/>
        <v>67.364911292036794</v>
      </c>
      <c r="D12" s="15">
        <f t="shared" si="0"/>
        <v>63.849550841700022</v>
      </c>
      <c r="E12" s="15">
        <f t="shared" si="1"/>
        <v>65.591808255511452</v>
      </c>
      <c r="F12" s="15">
        <f t="shared" si="2"/>
        <v>65.807085941622418</v>
      </c>
      <c r="G12" s="15">
        <f t="shared" si="3"/>
        <v>65.653339082717665</v>
      </c>
      <c r="I12" s="3" t="s">
        <v>10</v>
      </c>
      <c r="J12">
        <v>572.35289999999998</v>
      </c>
      <c r="K12">
        <v>693.56830000000002</v>
      </c>
      <c r="L12">
        <v>851.6952</v>
      </c>
      <c r="M12">
        <v>1213.4570000000001</v>
      </c>
    </row>
    <row r="13" spans="2:13" x14ac:dyDescent="0.25">
      <c r="B13" s="3" t="s">
        <v>11</v>
      </c>
      <c r="C13" s="15"/>
      <c r="D13" s="15"/>
      <c r="E13" s="15"/>
      <c r="F13" s="15"/>
      <c r="I13" s="3" t="s">
        <v>11</v>
      </c>
    </row>
    <row r="14" spans="2:13" x14ac:dyDescent="0.25">
      <c r="B14" s="2" t="s">
        <v>12</v>
      </c>
      <c r="C14" s="15">
        <f t="shared" si="0"/>
        <v>59.256116717076814</v>
      </c>
      <c r="D14" s="15">
        <f t="shared" si="0"/>
        <v>60.267580142397634</v>
      </c>
      <c r="E14" s="15">
        <f t="shared" si="1"/>
        <v>60.412182570671206</v>
      </c>
      <c r="F14" s="15">
        <f t="shared" si="2"/>
        <v>55.779867361619907</v>
      </c>
      <c r="G14" s="15">
        <f>AVERAGE(C14:F14)</f>
        <v>58.928936697941396</v>
      </c>
      <c r="I14" s="2" t="s">
        <v>12</v>
      </c>
      <c r="J14">
        <v>503.4581</v>
      </c>
      <c r="K14">
        <v>654.65899999999999</v>
      </c>
      <c r="L14">
        <v>784.43889999999999</v>
      </c>
      <c r="M14">
        <v>1028.559</v>
      </c>
    </row>
    <row r="15" spans="2:13" x14ac:dyDescent="0.25">
      <c r="B15" s="2"/>
      <c r="C15" s="15"/>
      <c r="D15" s="15"/>
      <c r="E15" s="15"/>
      <c r="F15" s="15"/>
      <c r="I15" s="2"/>
    </row>
    <row r="16" spans="2:13" x14ac:dyDescent="0.25">
      <c r="B16" s="7" t="s">
        <v>19</v>
      </c>
      <c r="C16" s="15">
        <f t="shared" si="0"/>
        <v>92.852105373794217</v>
      </c>
      <c r="D16" s="15">
        <f t="shared" si="0"/>
        <v>91.231249781358699</v>
      </c>
      <c r="E16" s="15">
        <f t="shared" si="1"/>
        <v>95.24004257291999</v>
      </c>
      <c r="F16" s="15">
        <f t="shared" si="2"/>
        <v>93.027184414420915</v>
      </c>
      <c r="G16" s="15">
        <f>AVERAGE(C16:F16)</f>
        <v>93.087645535623452</v>
      </c>
      <c r="I16" s="7" t="s">
        <v>19</v>
      </c>
      <c r="J16">
        <v>788.8999</v>
      </c>
      <c r="K16">
        <v>991.00310000000002</v>
      </c>
      <c r="L16">
        <v>1236.671</v>
      </c>
      <c r="M16">
        <v>1715.385</v>
      </c>
    </row>
    <row r="17" spans="2:14" x14ac:dyDescent="0.25">
      <c r="B17" s="7"/>
      <c r="I17" s="7"/>
    </row>
    <row r="19" spans="2:14" x14ac:dyDescent="0.25">
      <c r="B19" s="8" t="s">
        <v>40</v>
      </c>
      <c r="C19" t="s">
        <v>15</v>
      </c>
      <c r="D19" t="s">
        <v>18</v>
      </c>
      <c r="E19" t="s">
        <v>17</v>
      </c>
      <c r="F19" t="s">
        <v>16</v>
      </c>
      <c r="G19" t="s">
        <v>48</v>
      </c>
      <c r="I19" s="8" t="s">
        <v>40</v>
      </c>
      <c r="J19" t="s">
        <v>15</v>
      </c>
      <c r="K19" t="s">
        <v>18</v>
      </c>
      <c r="L19" t="s">
        <v>17</v>
      </c>
      <c r="M19" t="s">
        <v>16</v>
      </c>
    </row>
    <row r="20" spans="2:14" x14ac:dyDescent="0.25">
      <c r="B20" s="2" t="s">
        <v>2</v>
      </c>
      <c r="C20" s="15">
        <f>+J20/J$22*100</f>
        <v>109.71427790968194</v>
      </c>
      <c r="D20" s="15">
        <f t="shared" ref="D20:F28" si="4">+K20/K$22*100</f>
        <v>109.3749960928518</v>
      </c>
      <c r="E20" s="15">
        <f t="shared" si="4"/>
        <v>106.52173913043477</v>
      </c>
      <c r="F20" s="15">
        <f t="shared" si="4"/>
        <v>109.37499154296847</v>
      </c>
      <c r="G20" s="15">
        <f>AVERAGE(C20:F20)</f>
        <v>108.74650116898424</v>
      </c>
      <c r="I20" s="2" t="s">
        <v>2</v>
      </c>
      <c r="J20">
        <v>739.03</v>
      </c>
      <c r="K20">
        <v>962.27869999999996</v>
      </c>
      <c r="L20">
        <v>1154.7339999999999</v>
      </c>
      <c r="M20">
        <v>1616.6279999999999</v>
      </c>
      <c r="N20" t="s">
        <v>44</v>
      </c>
    </row>
    <row r="21" spans="2:14" x14ac:dyDescent="0.25">
      <c r="B21" s="3" t="s">
        <v>3</v>
      </c>
      <c r="C21" s="15">
        <f t="shared" ref="C21:C32" si="5">+J21/J$22*100</f>
        <v>114.28570368163307</v>
      </c>
      <c r="D21" s="15">
        <f t="shared" si="4"/>
        <v>104.99999033868809</v>
      </c>
      <c r="E21" s="15">
        <f t="shared" si="4"/>
        <v>106.52173913043477</v>
      </c>
      <c r="F21" s="15">
        <f t="shared" si="4"/>
        <v>104.16667794270869</v>
      </c>
      <c r="G21" s="15">
        <f t="shared" ref="G21:G28" si="6">AVERAGE(C21:F21)</f>
        <v>107.49352777336615</v>
      </c>
      <c r="I21" s="3" t="s">
        <v>3</v>
      </c>
      <c r="J21">
        <v>769.8229</v>
      </c>
      <c r="K21">
        <v>923.78750000000002</v>
      </c>
      <c r="L21">
        <v>1154.7339999999999</v>
      </c>
      <c r="M21">
        <v>1539.646</v>
      </c>
    </row>
    <row r="22" spans="2:14" x14ac:dyDescent="0.25">
      <c r="B22" s="3" t="s">
        <v>4</v>
      </c>
      <c r="C22" s="15">
        <f t="shared" si="5"/>
        <v>100</v>
      </c>
      <c r="D22" s="15">
        <f t="shared" si="4"/>
        <v>100</v>
      </c>
      <c r="E22" s="15">
        <f t="shared" si="4"/>
        <v>100</v>
      </c>
      <c r="F22" s="15">
        <f t="shared" si="4"/>
        <v>100</v>
      </c>
      <c r="G22" s="15">
        <f t="shared" si="6"/>
        <v>100</v>
      </c>
      <c r="I22" s="3" t="s">
        <v>4</v>
      </c>
      <c r="J22">
        <v>673.5951</v>
      </c>
      <c r="K22">
        <v>879.79769999999996</v>
      </c>
      <c r="L22">
        <v>1084.0360000000001</v>
      </c>
      <c r="M22">
        <v>1478.06</v>
      </c>
    </row>
    <row r="23" spans="2:14" x14ac:dyDescent="0.25">
      <c r="B23" s="3" t="s">
        <v>5</v>
      </c>
      <c r="C23" s="15">
        <f t="shared" si="5"/>
        <v>128.57142220897984</v>
      </c>
      <c r="D23" s="15">
        <f t="shared" si="4"/>
        <v>131.2499452999252</v>
      </c>
      <c r="E23" s="15">
        <f t="shared" si="4"/>
        <v>133.15222003697295</v>
      </c>
      <c r="F23" s="15">
        <f t="shared" si="4"/>
        <v>130.2083136002598</v>
      </c>
      <c r="G23" s="15">
        <f t="shared" si="6"/>
        <v>130.79547528653444</v>
      </c>
      <c r="I23" s="3" t="s">
        <v>5</v>
      </c>
      <c r="J23">
        <v>866.05079999999998</v>
      </c>
      <c r="K23">
        <v>1154.7339999999999</v>
      </c>
      <c r="L23">
        <v>1443.4179999999999</v>
      </c>
      <c r="M23">
        <v>1924.557</v>
      </c>
    </row>
    <row r="24" spans="2:14" x14ac:dyDescent="0.25">
      <c r="B24" s="3" t="s">
        <v>6</v>
      </c>
      <c r="C24" s="15">
        <f t="shared" si="5"/>
        <v>186.33538159645161</v>
      </c>
      <c r="D24" s="15">
        <f t="shared" si="4"/>
        <v>154.41174715505622</v>
      </c>
      <c r="E24" s="15">
        <f t="shared" si="4"/>
        <v>142.02904700581897</v>
      </c>
      <c r="F24" s="15">
        <f t="shared" si="4"/>
        <v>187.50003382812605</v>
      </c>
      <c r="G24" s="15">
        <f t="shared" si="6"/>
        <v>167.56905239636319</v>
      </c>
      <c r="I24" s="3" t="s">
        <v>6</v>
      </c>
      <c r="J24">
        <v>1255.146</v>
      </c>
      <c r="K24">
        <v>1358.511</v>
      </c>
      <c r="L24">
        <v>1539.646</v>
      </c>
      <c r="M24">
        <v>2771.3629999999998</v>
      </c>
    </row>
    <row r="25" spans="2:14" x14ac:dyDescent="0.25">
      <c r="B25" s="2" t="s">
        <v>7</v>
      </c>
      <c r="C25" s="15">
        <f t="shared" si="5"/>
        <v>65.306116389504609</v>
      </c>
      <c r="D25" s="15">
        <f t="shared" si="4"/>
        <v>59.65908981121455</v>
      </c>
      <c r="E25" s="15">
        <f t="shared" si="4"/>
        <v>62.137705758849336</v>
      </c>
      <c r="F25" s="15">
        <f t="shared" si="4"/>
        <v>62.065971611436609</v>
      </c>
      <c r="G25" s="15">
        <f t="shared" si="6"/>
        <v>62.292220892751274</v>
      </c>
      <c r="I25" s="2" t="s">
        <v>7</v>
      </c>
      <c r="J25">
        <v>439.89879999999999</v>
      </c>
      <c r="K25">
        <v>524.87929999999994</v>
      </c>
      <c r="L25">
        <v>673.5951</v>
      </c>
      <c r="M25">
        <v>917.3723</v>
      </c>
    </row>
    <row r="26" spans="2:14" x14ac:dyDescent="0.25">
      <c r="B26" s="3" t="s">
        <v>8</v>
      </c>
      <c r="C26" s="15">
        <f t="shared" si="5"/>
        <v>95.999985748114852</v>
      </c>
      <c r="D26" s="15">
        <f t="shared" si="4"/>
        <v>95.454534604943845</v>
      </c>
      <c r="E26" s="15">
        <f t="shared" si="4"/>
        <v>96.838020139552555</v>
      </c>
      <c r="F26" s="15">
        <f t="shared" si="4"/>
        <v>101.2731553522861</v>
      </c>
      <c r="G26" s="15">
        <f t="shared" si="6"/>
        <v>97.391423961224334</v>
      </c>
      <c r="I26" s="3" t="s">
        <v>8</v>
      </c>
      <c r="J26">
        <v>646.65120000000002</v>
      </c>
      <c r="K26">
        <v>839.80679999999995</v>
      </c>
      <c r="L26">
        <v>1049.759</v>
      </c>
      <c r="M26">
        <v>1496.8779999999999</v>
      </c>
    </row>
    <row r="27" spans="2:14" x14ac:dyDescent="0.25">
      <c r="B27" s="3" t="s">
        <v>9</v>
      </c>
      <c r="C27" s="15">
        <f t="shared" si="5"/>
        <v>61.714285035624513</v>
      </c>
      <c r="D27" s="15">
        <f t="shared" si="4"/>
        <v>59.062498117464955</v>
      </c>
      <c r="E27" s="15">
        <f t="shared" si="4"/>
        <v>63.913061927832651</v>
      </c>
      <c r="F27" s="15">
        <f t="shared" si="4"/>
        <v>62.5</v>
      </c>
      <c r="G27" s="15">
        <f t="shared" si="6"/>
        <v>61.797461270230528</v>
      </c>
      <c r="I27" s="3" t="s">
        <v>9</v>
      </c>
      <c r="J27">
        <v>415.70440000000002</v>
      </c>
      <c r="K27">
        <v>519.63049999999998</v>
      </c>
      <c r="L27">
        <v>692.84059999999999</v>
      </c>
      <c r="M27">
        <v>923.78750000000002</v>
      </c>
    </row>
    <row r="28" spans="2:14" x14ac:dyDescent="0.25">
      <c r="B28" s="3" t="s">
        <v>10</v>
      </c>
      <c r="C28" s="15">
        <f t="shared" si="5"/>
        <v>60.504196066746921</v>
      </c>
      <c r="D28" s="15">
        <f t="shared" si="4"/>
        <v>54.687492363301246</v>
      </c>
      <c r="E28" s="15">
        <f t="shared" si="4"/>
        <v>53.260888014789174</v>
      </c>
      <c r="F28" s="15">
        <f t="shared" si="4"/>
        <v>55.803573603236678</v>
      </c>
      <c r="G28" s="15">
        <f t="shared" si="6"/>
        <v>56.064037512018508</v>
      </c>
      <c r="I28" s="3" t="s">
        <v>10</v>
      </c>
      <c r="J28">
        <v>407.55329999999998</v>
      </c>
      <c r="K28">
        <v>481.13929999999999</v>
      </c>
      <c r="L28">
        <v>577.36720000000003</v>
      </c>
      <c r="M28">
        <v>824.81029999999998</v>
      </c>
    </row>
    <row r="29" spans="2:14" x14ac:dyDescent="0.25">
      <c r="B29" s="3" t="s">
        <v>11</v>
      </c>
      <c r="C29" s="15"/>
      <c r="D29" s="15"/>
      <c r="E29" s="15"/>
      <c r="F29" s="15"/>
      <c r="I29" s="3" t="s">
        <v>11</v>
      </c>
      <c r="J29" t="s">
        <v>41</v>
      </c>
      <c r="K29" t="s">
        <v>41</v>
      </c>
      <c r="L29" t="s">
        <v>41</v>
      </c>
      <c r="M29" t="s">
        <v>41</v>
      </c>
    </row>
    <row r="30" spans="2:14" x14ac:dyDescent="0.25">
      <c r="B30" s="2" t="s">
        <v>12</v>
      </c>
      <c r="C30" s="15">
        <f t="shared" si="5"/>
        <v>68.571431116408064</v>
      </c>
      <c r="D30" s="15">
        <f t="shared" ref="D30" si="7">+K30/K$22*100</f>
        <v>65.624995382461222</v>
      </c>
      <c r="E30" s="15">
        <f t="shared" ref="E30" si="8">+L30/L$22*100</f>
        <v>63.913061927832651</v>
      </c>
      <c r="F30" s="15">
        <f t="shared" ref="F30" si="9">+M30/M$22*100</f>
        <v>59.570315142822352</v>
      </c>
      <c r="G30" s="15">
        <f>AVERAGE(C30:F30)</f>
        <v>64.419950892381081</v>
      </c>
      <c r="I30" s="2" t="s">
        <v>12</v>
      </c>
      <c r="J30">
        <v>461.8938</v>
      </c>
      <c r="K30">
        <v>577.36720000000003</v>
      </c>
      <c r="L30">
        <v>692.84059999999999</v>
      </c>
      <c r="M30">
        <v>880.48500000000001</v>
      </c>
    </row>
    <row r="31" spans="2:14" x14ac:dyDescent="0.25">
      <c r="B31" s="6"/>
      <c r="I31" s="6"/>
    </row>
    <row r="32" spans="2:14" x14ac:dyDescent="0.25">
      <c r="B32" s="7" t="s">
        <v>19</v>
      </c>
      <c r="C32" s="15">
        <f t="shared" si="5"/>
        <v>85.714281472653227</v>
      </c>
      <c r="D32" s="15">
        <f t="shared" ref="D32" si="10">+K32/K$22*100</f>
        <v>87.499990054531864</v>
      </c>
      <c r="E32" s="15">
        <f t="shared" ref="E32" si="11">+L32/L$22*100</f>
        <v>88.768149766243923</v>
      </c>
      <c r="F32" s="15">
        <f t="shared" ref="F32" si="12">+M32/M$22*100</f>
        <v>86.805542400173209</v>
      </c>
      <c r="G32" s="15">
        <f>AVERAGE(C32:F32)</f>
        <v>87.196990923400563</v>
      </c>
      <c r="I32" s="7" t="s">
        <v>19</v>
      </c>
      <c r="J32">
        <v>577.36720000000003</v>
      </c>
      <c r="K32">
        <v>769.8229</v>
      </c>
      <c r="L32">
        <v>962.27869999999996</v>
      </c>
      <c r="M32">
        <v>1283.038</v>
      </c>
    </row>
    <row r="36" spans="2:13" x14ac:dyDescent="0.25">
      <c r="B36" s="8" t="s">
        <v>42</v>
      </c>
      <c r="C36" t="s">
        <v>15</v>
      </c>
      <c r="D36" t="s">
        <v>18</v>
      </c>
      <c r="E36" t="s">
        <v>17</v>
      </c>
      <c r="F36" t="s">
        <v>16</v>
      </c>
      <c r="G36" t="s">
        <v>48</v>
      </c>
      <c r="I36" s="8" t="s">
        <v>42</v>
      </c>
      <c r="J36" t="s">
        <v>15</v>
      </c>
      <c r="K36" t="s">
        <v>18</v>
      </c>
      <c r="L36" t="s">
        <v>17</v>
      </c>
      <c r="M36" t="s">
        <v>16</v>
      </c>
    </row>
    <row r="37" spans="2:13" x14ac:dyDescent="0.25">
      <c r="B37" s="2" t="s">
        <v>2</v>
      </c>
      <c r="C37" s="15">
        <f>+J37/J$39*100</f>
        <v>100.33973700759987</v>
      </c>
      <c r="D37" s="15">
        <f t="shared" ref="D37:F45" si="13">+K37/K$39*100</f>
        <v>101.51732237228421</v>
      </c>
      <c r="E37" s="15">
        <f t="shared" si="13"/>
        <v>103.70410260800564</v>
      </c>
      <c r="F37" s="15">
        <f t="shared" si="13"/>
        <v>101.32532008251638</v>
      </c>
      <c r="G37" s="15">
        <f>AVERAGE(C37:F37)</f>
        <v>101.72162051760152</v>
      </c>
      <c r="I37" s="2" t="s">
        <v>2</v>
      </c>
      <c r="J37">
        <v>141204.6</v>
      </c>
      <c r="K37">
        <v>177206.1</v>
      </c>
      <c r="L37">
        <v>225309.4</v>
      </c>
      <c r="M37">
        <v>311700.8</v>
      </c>
    </row>
    <row r="38" spans="2:13" x14ac:dyDescent="0.25">
      <c r="B38" s="3" t="s">
        <v>3</v>
      </c>
      <c r="C38" s="15">
        <f t="shared" ref="C38:C49" si="14">+J38/J$39*100</f>
        <v>87.859571580334901</v>
      </c>
      <c r="D38" s="15">
        <f t="shared" si="13"/>
        <v>94.560130615986125</v>
      </c>
      <c r="E38" s="15">
        <f t="shared" si="13"/>
        <v>103.1875829068893</v>
      </c>
      <c r="F38" s="15">
        <f t="shared" si="13"/>
        <v>90.912926763143815</v>
      </c>
      <c r="G38" s="15">
        <f t="shared" ref="G38:G45" si="15">AVERAGE(C38:F38)</f>
        <v>94.130052966588522</v>
      </c>
      <c r="I38" s="3" t="s">
        <v>3</v>
      </c>
      <c r="J38">
        <v>123641.7</v>
      </c>
      <c r="K38">
        <v>165061.79999999999</v>
      </c>
      <c r="L38">
        <v>224187.2</v>
      </c>
      <c r="M38">
        <v>279669.8</v>
      </c>
    </row>
    <row r="39" spans="2:13" x14ac:dyDescent="0.25">
      <c r="B39" s="3" t="s">
        <v>4</v>
      </c>
      <c r="C39" s="15">
        <f t="shared" si="14"/>
        <v>100</v>
      </c>
      <c r="D39" s="15">
        <f t="shared" si="13"/>
        <v>100</v>
      </c>
      <c r="E39" s="15">
        <f t="shared" si="13"/>
        <v>100</v>
      </c>
      <c r="F39" s="15">
        <f t="shared" si="13"/>
        <v>100</v>
      </c>
      <c r="G39" s="15">
        <f t="shared" si="15"/>
        <v>100</v>
      </c>
      <c r="I39" s="3" t="s">
        <v>4</v>
      </c>
      <c r="J39">
        <v>140726.5</v>
      </c>
      <c r="K39">
        <v>174557.5</v>
      </c>
      <c r="L39">
        <v>217261.8</v>
      </c>
      <c r="M39">
        <v>307623.8</v>
      </c>
    </row>
    <row r="40" spans="2:13" x14ac:dyDescent="0.25">
      <c r="B40" s="3" t="s">
        <v>5</v>
      </c>
      <c r="C40" s="15">
        <f t="shared" si="14"/>
        <v>99.519280306125708</v>
      </c>
      <c r="D40" s="15">
        <f t="shared" si="13"/>
        <v>100.83210403448722</v>
      </c>
      <c r="E40" s="15">
        <f t="shared" si="13"/>
        <v>107.63958505360816</v>
      </c>
      <c r="F40" s="15">
        <f t="shared" si="13"/>
        <v>100.36424359883729</v>
      </c>
      <c r="G40" s="15">
        <f t="shared" si="15"/>
        <v>102.0888032482646</v>
      </c>
      <c r="I40" s="3" t="s">
        <v>5</v>
      </c>
      <c r="J40">
        <v>140050</v>
      </c>
      <c r="K40">
        <v>176010</v>
      </c>
      <c r="L40">
        <v>233859.7</v>
      </c>
      <c r="M40">
        <v>308744.3</v>
      </c>
    </row>
    <row r="41" spans="2:13" x14ac:dyDescent="0.25">
      <c r="B41" s="3" t="s">
        <v>6</v>
      </c>
      <c r="C41" s="15">
        <f t="shared" si="14"/>
        <v>194.80069496505635</v>
      </c>
      <c r="D41" s="15">
        <f t="shared" si="13"/>
        <v>202.52117497099812</v>
      </c>
      <c r="E41" s="15">
        <f t="shared" si="13"/>
        <v>160.06366512658923</v>
      </c>
      <c r="F41" s="15">
        <f t="shared" si="13"/>
        <v>220.13215492429393</v>
      </c>
      <c r="G41" s="15">
        <f t="shared" si="15"/>
        <v>194.37942249673438</v>
      </c>
      <c r="I41" s="3" t="s">
        <v>6</v>
      </c>
      <c r="J41">
        <v>274136.2</v>
      </c>
      <c r="K41">
        <v>353515.9</v>
      </c>
      <c r="L41">
        <v>347757.2</v>
      </c>
      <c r="M41">
        <v>677178.9</v>
      </c>
    </row>
    <row r="42" spans="2:13" x14ac:dyDescent="0.25">
      <c r="B42" s="2" t="s">
        <v>7</v>
      </c>
      <c r="C42" s="15">
        <f t="shared" si="14"/>
        <v>50.906176164404002</v>
      </c>
      <c r="D42" s="15">
        <f t="shared" si="13"/>
        <v>49.697538060524472</v>
      </c>
      <c r="E42" s="15">
        <f t="shared" si="13"/>
        <v>51.694085200435602</v>
      </c>
      <c r="F42" s="15">
        <f t="shared" si="13"/>
        <v>49.55370813311584</v>
      </c>
      <c r="G42" s="15">
        <f t="shared" si="15"/>
        <v>50.462876889619977</v>
      </c>
      <c r="I42" s="2" t="s">
        <v>7</v>
      </c>
      <c r="J42">
        <v>71638.48</v>
      </c>
      <c r="K42">
        <v>86750.78</v>
      </c>
      <c r="L42">
        <v>112311.5</v>
      </c>
      <c r="M42">
        <v>152439</v>
      </c>
    </row>
    <row r="43" spans="2:13" x14ac:dyDescent="0.25">
      <c r="B43" s="3" t="s">
        <v>8</v>
      </c>
      <c r="C43" s="15">
        <f t="shared" si="14"/>
        <v>103.98098439171015</v>
      </c>
      <c r="D43" s="15">
        <f t="shared" si="13"/>
        <v>101.39621614654197</v>
      </c>
      <c r="E43" s="15">
        <f t="shared" si="13"/>
        <v>121.02228739704819</v>
      </c>
      <c r="F43" s="15">
        <f t="shared" si="13"/>
        <v>102.31705089138097</v>
      </c>
      <c r="G43" s="15">
        <f t="shared" si="15"/>
        <v>107.17913470667031</v>
      </c>
      <c r="I43" s="3" t="s">
        <v>8</v>
      </c>
      <c r="J43">
        <v>146328.79999999999</v>
      </c>
      <c r="K43">
        <v>176994.7</v>
      </c>
      <c r="L43">
        <v>262935.2</v>
      </c>
      <c r="M43">
        <v>314751.59999999998</v>
      </c>
    </row>
    <row r="44" spans="2:13" x14ac:dyDescent="0.25">
      <c r="B44" s="3" t="s">
        <v>9</v>
      </c>
      <c r="C44" s="15">
        <f t="shared" si="14"/>
        <v>54.234078158697898</v>
      </c>
      <c r="D44" s="15">
        <f t="shared" si="13"/>
        <v>53.913581484611086</v>
      </c>
      <c r="E44" s="15">
        <f t="shared" si="13"/>
        <v>54.019942760301163</v>
      </c>
      <c r="F44" s="15">
        <f t="shared" si="13"/>
        <v>54.126501265506768</v>
      </c>
      <c r="G44" s="15">
        <f t="shared" si="15"/>
        <v>54.073525917279227</v>
      </c>
      <c r="I44" s="3" t="s">
        <v>9</v>
      </c>
      <c r="J44">
        <v>76321.72</v>
      </c>
      <c r="K44">
        <v>94110.2</v>
      </c>
      <c r="L44">
        <v>117364.7</v>
      </c>
      <c r="M44">
        <v>166506</v>
      </c>
    </row>
    <row r="45" spans="2:13" x14ac:dyDescent="0.25">
      <c r="B45" s="3" t="s">
        <v>10</v>
      </c>
      <c r="C45" s="15">
        <f t="shared" si="14"/>
        <v>51.393674965269518</v>
      </c>
      <c r="D45" s="15">
        <f t="shared" si="13"/>
        <v>49.691958237257062</v>
      </c>
      <c r="E45" s="15">
        <f t="shared" si="13"/>
        <v>50.635868799761397</v>
      </c>
      <c r="F45" s="15">
        <f t="shared" si="13"/>
        <v>48.806171694127698</v>
      </c>
      <c r="G45" s="15">
        <f t="shared" si="15"/>
        <v>50.131918424103922</v>
      </c>
      <c r="I45" s="3" t="s">
        <v>10</v>
      </c>
      <c r="J45">
        <v>72324.52</v>
      </c>
      <c r="K45">
        <v>86741.04</v>
      </c>
      <c r="L45">
        <v>110012.4</v>
      </c>
      <c r="M45">
        <v>150139.4</v>
      </c>
    </row>
    <row r="46" spans="2:13" x14ac:dyDescent="0.25">
      <c r="B46" s="3" t="s">
        <v>11</v>
      </c>
      <c r="C46" s="15"/>
      <c r="D46" s="15"/>
      <c r="E46" s="15"/>
      <c r="F46" s="15"/>
      <c r="I46" s="3" t="s">
        <v>11</v>
      </c>
      <c r="J46">
        <v>0</v>
      </c>
      <c r="K46">
        <v>0</v>
      </c>
      <c r="L46">
        <v>0</v>
      </c>
      <c r="M46">
        <v>0</v>
      </c>
    </row>
    <row r="47" spans="2:13" x14ac:dyDescent="0.25">
      <c r="B47" s="2" t="s">
        <v>12</v>
      </c>
      <c r="C47" s="15">
        <f t="shared" si="14"/>
        <v>25.822087524382397</v>
      </c>
      <c r="D47" s="15">
        <f t="shared" ref="D47" si="16">+K47/K$39*100</f>
        <v>25.946785443192073</v>
      </c>
      <c r="E47" s="15">
        <f t="shared" ref="E47" si="17">+L47/L$39*100</f>
        <v>26.84882017915713</v>
      </c>
      <c r="F47" s="15">
        <f t="shared" ref="F47" si="18">+M47/M$39*100</f>
        <v>24.144272972377301</v>
      </c>
      <c r="G47" s="15">
        <f>AVERAGE(C47:F47)</f>
        <v>25.690491529777226</v>
      </c>
      <c r="I47" s="2" t="s">
        <v>12</v>
      </c>
      <c r="J47">
        <v>36338.519999999997</v>
      </c>
      <c r="K47">
        <v>45292.06</v>
      </c>
      <c r="L47">
        <v>58332.23</v>
      </c>
      <c r="M47">
        <v>74273.53</v>
      </c>
    </row>
    <row r="48" spans="2:13" x14ac:dyDescent="0.25">
      <c r="B48" s="2"/>
      <c r="I48" s="2"/>
    </row>
    <row r="49" spans="2:13" x14ac:dyDescent="0.25">
      <c r="B49" s="7" t="s">
        <v>19</v>
      </c>
      <c r="C49" s="15">
        <f t="shared" si="14"/>
        <v>80.051589430562117</v>
      </c>
      <c r="D49" s="15">
        <f t="shared" ref="D49" si="19">+K49/K$39*100</f>
        <v>79.675465104621694</v>
      </c>
      <c r="E49" s="15">
        <f t="shared" ref="E49" si="20">+L49/L$39*100</f>
        <v>82.350739982822574</v>
      </c>
      <c r="F49" s="15">
        <f t="shared" ref="F49" si="21">+M49/M$39*100</f>
        <v>79.917321091541041</v>
      </c>
      <c r="G49" s="15">
        <f>AVERAGE(C49:F49)</f>
        <v>80.49877890238686</v>
      </c>
      <c r="I49" s="7" t="s">
        <v>19</v>
      </c>
      <c r="J49">
        <v>112653.8</v>
      </c>
      <c r="K49">
        <v>139079.5</v>
      </c>
      <c r="L49">
        <v>178916.7</v>
      </c>
      <c r="M49">
        <v>245844.7</v>
      </c>
    </row>
    <row r="50" spans="2:13" x14ac:dyDescent="0.25">
      <c r="B50" s="7"/>
      <c r="I50" s="7"/>
    </row>
    <row r="52" spans="2:13" x14ac:dyDescent="0.25">
      <c r="B52" s="8" t="s">
        <v>43</v>
      </c>
      <c r="C52" t="s">
        <v>15</v>
      </c>
      <c r="D52" t="s">
        <v>18</v>
      </c>
      <c r="E52" t="s">
        <v>17</v>
      </c>
      <c r="F52" t="s">
        <v>16</v>
      </c>
      <c r="G52" t="s">
        <v>48</v>
      </c>
      <c r="I52" s="8" t="s">
        <v>43</v>
      </c>
      <c r="J52" t="s">
        <v>15</v>
      </c>
      <c r="K52" t="s">
        <v>18</v>
      </c>
      <c r="L52" t="s">
        <v>17</v>
      </c>
      <c r="M52" t="s">
        <v>16</v>
      </c>
    </row>
    <row r="53" spans="2:13" x14ac:dyDescent="0.25">
      <c r="B53" s="2" t="s">
        <v>2</v>
      </c>
      <c r="C53" s="15">
        <f>+J53/J$55*100</f>
        <v>100</v>
      </c>
      <c r="D53" s="15">
        <f t="shared" ref="D53:F61" si="22">+K53/K$55*100</f>
        <v>100</v>
      </c>
      <c r="E53" s="15">
        <f t="shared" si="22"/>
        <v>100</v>
      </c>
      <c r="F53" s="15">
        <f t="shared" si="22"/>
        <v>96.15384615384616</v>
      </c>
      <c r="G53" s="15">
        <f>AVERAGE(C53:F53)</f>
        <v>99.038461538461547</v>
      </c>
      <c r="I53" s="2" t="s">
        <v>2</v>
      </c>
      <c r="J53">
        <v>120000</v>
      </c>
      <c r="K53">
        <v>150000</v>
      </c>
      <c r="L53">
        <v>200000</v>
      </c>
      <c r="M53">
        <v>250000</v>
      </c>
    </row>
    <row r="54" spans="2:13" x14ac:dyDescent="0.25">
      <c r="B54" s="3" t="s">
        <v>3</v>
      </c>
      <c r="C54" s="15">
        <f t="shared" ref="C54:C63" si="23">+J54/J$55*100</f>
        <v>83.333333333333343</v>
      </c>
      <c r="D54" s="15">
        <f t="shared" si="22"/>
        <v>80</v>
      </c>
      <c r="E54" s="15">
        <f t="shared" si="22"/>
        <v>75</v>
      </c>
      <c r="F54" s="15">
        <f t="shared" si="22"/>
        <v>76.923076923076934</v>
      </c>
      <c r="G54" s="15">
        <f t="shared" ref="G54:G61" si="24">AVERAGE(C54:F54)</f>
        <v>78.814102564102569</v>
      </c>
      <c r="I54" s="3" t="s">
        <v>3</v>
      </c>
      <c r="J54">
        <v>100000</v>
      </c>
      <c r="K54">
        <v>120000</v>
      </c>
      <c r="L54">
        <v>150000</v>
      </c>
      <c r="M54">
        <v>200000</v>
      </c>
    </row>
    <row r="55" spans="2:13" x14ac:dyDescent="0.25">
      <c r="B55" s="3" t="s">
        <v>4</v>
      </c>
      <c r="C55" s="15">
        <f t="shared" si="23"/>
        <v>100</v>
      </c>
      <c r="D55" s="15">
        <f t="shared" si="22"/>
        <v>100</v>
      </c>
      <c r="E55" s="15">
        <f t="shared" si="22"/>
        <v>100</v>
      </c>
      <c r="F55" s="15">
        <f t="shared" si="22"/>
        <v>100</v>
      </c>
      <c r="G55" s="15">
        <f t="shared" si="24"/>
        <v>100</v>
      </c>
      <c r="I55" s="3" t="s">
        <v>4</v>
      </c>
      <c r="J55">
        <v>120000</v>
      </c>
      <c r="K55">
        <v>150000</v>
      </c>
      <c r="L55">
        <v>200000</v>
      </c>
      <c r="M55">
        <v>260000</v>
      </c>
    </row>
    <row r="56" spans="2:13" x14ac:dyDescent="0.25">
      <c r="B56" s="3" t="s">
        <v>5</v>
      </c>
      <c r="C56" s="15">
        <f t="shared" si="23"/>
        <v>100</v>
      </c>
      <c r="D56" s="15">
        <f t="shared" si="22"/>
        <v>100</v>
      </c>
      <c r="E56" s="15">
        <f t="shared" si="22"/>
        <v>100</v>
      </c>
      <c r="F56" s="15">
        <f t="shared" si="22"/>
        <v>96.15384615384616</v>
      </c>
      <c r="G56" s="15">
        <f t="shared" si="24"/>
        <v>99.038461538461547</v>
      </c>
      <c r="I56" s="3" t="s">
        <v>5</v>
      </c>
      <c r="J56">
        <v>120000</v>
      </c>
      <c r="K56">
        <v>150000</v>
      </c>
      <c r="L56">
        <v>200000</v>
      </c>
      <c r="M56">
        <v>250000</v>
      </c>
    </row>
    <row r="57" spans="2:13" x14ac:dyDescent="0.25">
      <c r="B57" s="3" t="s">
        <v>6</v>
      </c>
      <c r="C57" s="15">
        <f t="shared" si="23"/>
        <v>200</v>
      </c>
      <c r="D57" s="15">
        <f t="shared" si="22"/>
        <v>166.66666666666669</v>
      </c>
      <c r="E57" s="15">
        <f t="shared" si="22"/>
        <v>140</v>
      </c>
      <c r="F57" s="15">
        <f t="shared" si="22"/>
        <v>192.30769230769232</v>
      </c>
      <c r="G57" s="15">
        <f t="shared" si="24"/>
        <v>174.74358974358975</v>
      </c>
      <c r="I57" s="3" t="s">
        <v>6</v>
      </c>
      <c r="J57">
        <v>240000</v>
      </c>
      <c r="K57">
        <v>250000</v>
      </c>
      <c r="L57">
        <v>280000</v>
      </c>
      <c r="M57">
        <v>500000</v>
      </c>
    </row>
    <row r="58" spans="2:13" x14ac:dyDescent="0.25">
      <c r="B58" s="2" t="s">
        <v>7</v>
      </c>
      <c r="C58" s="15">
        <f t="shared" si="23"/>
        <v>50</v>
      </c>
      <c r="D58" s="15">
        <f t="shared" si="22"/>
        <v>46.666666666666664</v>
      </c>
      <c r="E58" s="15">
        <f t="shared" si="22"/>
        <v>42.5</v>
      </c>
      <c r="F58" s="15">
        <f t="shared" si="22"/>
        <v>46.153846153846153</v>
      </c>
      <c r="G58" s="15">
        <f t="shared" si="24"/>
        <v>46.330128205128204</v>
      </c>
      <c r="I58" s="2" t="s">
        <v>7</v>
      </c>
      <c r="J58">
        <v>60000</v>
      </c>
      <c r="K58">
        <v>70000</v>
      </c>
      <c r="L58">
        <v>85000</v>
      </c>
      <c r="M58">
        <v>120000</v>
      </c>
    </row>
    <row r="59" spans="2:13" x14ac:dyDescent="0.25">
      <c r="B59" s="3" t="s">
        <v>8</v>
      </c>
      <c r="C59" s="15">
        <f t="shared" si="23"/>
        <v>100</v>
      </c>
      <c r="D59" s="15">
        <f t="shared" si="22"/>
        <v>80</v>
      </c>
      <c r="E59" s="15">
        <f t="shared" si="22"/>
        <v>90</v>
      </c>
      <c r="F59" s="15">
        <f t="shared" si="22"/>
        <v>96.15384615384616</v>
      </c>
      <c r="G59" s="15">
        <f t="shared" si="24"/>
        <v>91.538461538461547</v>
      </c>
      <c r="I59" s="3" t="s">
        <v>8</v>
      </c>
      <c r="J59">
        <v>120000</v>
      </c>
      <c r="K59">
        <v>120000</v>
      </c>
      <c r="L59">
        <v>180000</v>
      </c>
      <c r="M59">
        <v>250000</v>
      </c>
    </row>
    <row r="60" spans="2:13" x14ac:dyDescent="0.25">
      <c r="B60" s="3" t="s">
        <v>9</v>
      </c>
      <c r="C60" s="15">
        <f t="shared" si="23"/>
        <v>50</v>
      </c>
      <c r="D60" s="15">
        <f t="shared" si="22"/>
        <v>53.333333333333336</v>
      </c>
      <c r="E60" s="15">
        <f t="shared" si="22"/>
        <v>50</v>
      </c>
      <c r="F60" s="15">
        <f t="shared" si="22"/>
        <v>53.846153846153847</v>
      </c>
      <c r="G60" s="15">
        <f t="shared" si="24"/>
        <v>51.794871794871796</v>
      </c>
      <c r="I60" s="3" t="s">
        <v>9</v>
      </c>
      <c r="J60">
        <v>60000</v>
      </c>
      <c r="K60">
        <v>80000</v>
      </c>
      <c r="L60">
        <v>100000</v>
      </c>
      <c r="M60">
        <v>140000</v>
      </c>
    </row>
    <row r="61" spans="2:13" x14ac:dyDescent="0.25">
      <c r="B61" s="3" t="s">
        <v>10</v>
      </c>
      <c r="C61" s="15">
        <f t="shared" si="23"/>
        <v>50</v>
      </c>
      <c r="D61" s="15">
        <f t="shared" si="22"/>
        <v>46.666666666666664</v>
      </c>
      <c r="E61" s="15">
        <f t="shared" si="22"/>
        <v>45</v>
      </c>
      <c r="F61" s="15">
        <f t="shared" si="22"/>
        <v>46.153846153846153</v>
      </c>
      <c r="G61" s="15">
        <f t="shared" si="24"/>
        <v>46.955128205128204</v>
      </c>
      <c r="I61" s="3" t="s">
        <v>10</v>
      </c>
      <c r="J61">
        <v>60000</v>
      </c>
      <c r="K61">
        <v>70000</v>
      </c>
      <c r="L61">
        <v>90000</v>
      </c>
      <c r="M61">
        <v>120000</v>
      </c>
    </row>
    <row r="62" spans="2:13" x14ac:dyDescent="0.25">
      <c r="B62" s="3" t="s">
        <v>11</v>
      </c>
      <c r="C62" s="15"/>
      <c r="D62" s="15"/>
      <c r="E62" s="15"/>
      <c r="F62" s="15"/>
      <c r="I62" s="3" t="s">
        <v>11</v>
      </c>
      <c r="J62">
        <v>0</v>
      </c>
      <c r="K62">
        <v>0</v>
      </c>
      <c r="L62">
        <v>0</v>
      </c>
      <c r="M62">
        <v>0</v>
      </c>
    </row>
    <row r="63" spans="2:13" x14ac:dyDescent="0.25">
      <c r="B63" s="2" t="s">
        <v>12</v>
      </c>
      <c r="C63" s="15">
        <f t="shared" si="23"/>
        <v>25</v>
      </c>
      <c r="D63" s="15">
        <f t="shared" ref="D63" si="25">+K63/K$55*100</f>
        <v>26.666666666666668</v>
      </c>
      <c r="E63" s="15">
        <f t="shared" ref="E63" si="26">+L63/L$55*100</f>
        <v>25</v>
      </c>
      <c r="F63" s="15">
        <f t="shared" ref="F63" si="27">+M63/M$55*100</f>
        <v>23.076923076923077</v>
      </c>
      <c r="G63" s="15">
        <f>AVERAGE(C63:F63)</f>
        <v>24.935897435897438</v>
      </c>
      <c r="I63" s="2" t="s">
        <v>12</v>
      </c>
      <c r="J63">
        <v>30000</v>
      </c>
      <c r="K63">
        <v>40000</v>
      </c>
      <c r="L63">
        <v>50000</v>
      </c>
      <c r="M63">
        <v>60000</v>
      </c>
    </row>
    <row r="64" spans="2:13" x14ac:dyDescent="0.25">
      <c r="B64" s="6"/>
      <c r="I64" s="6"/>
    </row>
    <row r="65" spans="2:13" x14ac:dyDescent="0.25">
      <c r="B65" s="7" t="s">
        <v>19</v>
      </c>
      <c r="C65" s="15">
        <f>+J65/J$55*100</f>
        <v>75</v>
      </c>
      <c r="D65" s="15">
        <f t="shared" ref="D65:F65" si="28">+K65/K$55*100</f>
        <v>73.333333333333329</v>
      </c>
      <c r="E65" s="15">
        <f t="shared" si="28"/>
        <v>75</v>
      </c>
      <c r="F65" s="15">
        <f t="shared" si="28"/>
        <v>76.923076923076934</v>
      </c>
      <c r="G65" s="15">
        <f>AVERAGE(C65:F65)</f>
        <v>75.064102564102569</v>
      </c>
      <c r="I65" s="7" t="s">
        <v>19</v>
      </c>
      <c r="J65">
        <v>90000</v>
      </c>
      <c r="K65">
        <v>110000</v>
      </c>
      <c r="L65">
        <v>150000</v>
      </c>
      <c r="M65">
        <v>200000</v>
      </c>
    </row>
    <row r="68" spans="2:13" x14ac:dyDescent="0.25">
      <c r="B68" s="8"/>
      <c r="I68" s="8"/>
    </row>
    <row r="69" spans="2:13" x14ac:dyDescent="0.25">
      <c r="B69" s="2"/>
      <c r="I69" s="2"/>
    </row>
    <row r="70" spans="2:13" x14ac:dyDescent="0.25">
      <c r="B70" s="3"/>
      <c r="I70" s="3"/>
    </row>
    <row r="71" spans="2:13" x14ac:dyDescent="0.25">
      <c r="B71" s="3"/>
      <c r="I71" s="3"/>
    </row>
    <row r="72" spans="2:13" x14ac:dyDescent="0.25">
      <c r="B72" s="3"/>
      <c r="I72" s="3"/>
    </row>
    <row r="73" spans="2:13" x14ac:dyDescent="0.25">
      <c r="B73" s="3"/>
      <c r="I73" s="3"/>
    </row>
    <row r="74" spans="2:13" x14ac:dyDescent="0.25">
      <c r="B74" s="2"/>
      <c r="I74" s="2"/>
    </row>
    <row r="75" spans="2:13" x14ac:dyDescent="0.25">
      <c r="B75" s="3"/>
      <c r="I75" s="3"/>
    </row>
    <row r="76" spans="2:13" x14ac:dyDescent="0.25">
      <c r="B76" s="3"/>
      <c r="I76" s="3"/>
    </row>
    <row r="77" spans="2:13" x14ac:dyDescent="0.25">
      <c r="B77" s="3"/>
      <c r="I77" s="3"/>
    </row>
    <row r="78" spans="2:13" x14ac:dyDescent="0.25">
      <c r="B78" s="3"/>
      <c r="I78" s="3"/>
    </row>
    <row r="79" spans="2:13" x14ac:dyDescent="0.25">
      <c r="B79" s="2"/>
      <c r="I79" s="2"/>
    </row>
    <row r="80" spans="2:13" x14ac:dyDescent="0.25">
      <c r="B80" s="2"/>
      <c r="I80" s="2"/>
    </row>
    <row r="81" spans="2:9" x14ac:dyDescent="0.25">
      <c r="B81" s="7"/>
      <c r="I8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1</vt:lpstr>
      <vt:lpstr>2</vt:lpstr>
      <vt:lpstr>3</vt:lpstr>
      <vt:lpstr>4</vt:lpstr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2026-03-10T20:44:00Z</dcterms:created>
  <dcterms:modified xsi:type="dcterms:W3CDTF">2026-03-18T16:29:00Z</dcterms:modified>
</cp:coreProperties>
</file>